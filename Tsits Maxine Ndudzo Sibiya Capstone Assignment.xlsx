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2a77a8fc1a4cb90d/Documents/"/>
    </mc:Choice>
  </mc:AlternateContent>
  <xr:revisionPtr revIDLastSave="668" documentId="8_{D7943A10-DE59-4BC2-982D-5CA73545529F}" xr6:coauthVersionLast="47" xr6:coauthVersionMax="47" xr10:uidLastSave="{FB251F40-0075-4876-9700-6677EAD31FBB}"/>
  <bookViews>
    <workbookView xWindow="-110" yWindow="-110" windowWidth="19420" windowHeight="10300" firstSheet="1" activeTab="1" xr2:uid="{00000000-000D-0000-FFFF-FFFF00000000}"/>
  </bookViews>
  <sheets>
    <sheet name="Cleaned_Data" sheetId="1" r:id="rId1"/>
    <sheet name="Pivot Tables" sheetId="8" r:id="rId2"/>
    <sheet name="Dashboard" sheetId="9" r:id="rId3"/>
    <sheet name="Insight_Report" sheetId="4" r:id="rId4"/>
    <sheet name="Lists" sheetId="5" r:id="rId5"/>
  </sheets>
  <definedNames>
    <definedName name="Slicer_Department">#N/A</definedName>
    <definedName name="Slicer_Treatment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01" i="1" l="1"/>
  <c r="L401" i="1"/>
  <c r="K401" i="1"/>
  <c r="J401" i="1"/>
  <c r="M400" i="1"/>
  <c r="L400" i="1"/>
  <c r="K400" i="1"/>
  <c r="J400" i="1"/>
  <c r="M399" i="1"/>
  <c r="L399" i="1"/>
  <c r="K399" i="1"/>
  <c r="J399" i="1"/>
  <c r="M398" i="1"/>
  <c r="L398" i="1"/>
  <c r="K398" i="1"/>
  <c r="J398" i="1"/>
  <c r="M397" i="1"/>
  <c r="L397" i="1"/>
  <c r="K397" i="1"/>
  <c r="J397" i="1"/>
  <c r="M396" i="1"/>
  <c r="L396" i="1"/>
  <c r="K396" i="1"/>
  <c r="J396" i="1"/>
  <c r="M395" i="1"/>
  <c r="L395" i="1"/>
  <c r="K395" i="1"/>
  <c r="J395" i="1"/>
  <c r="M394" i="1"/>
  <c r="L394" i="1"/>
  <c r="K394" i="1"/>
  <c r="J394" i="1"/>
  <c r="M393" i="1"/>
  <c r="L393" i="1"/>
  <c r="K393" i="1"/>
  <c r="J393" i="1"/>
  <c r="M392" i="1"/>
  <c r="L392" i="1"/>
  <c r="K392" i="1"/>
  <c r="J392" i="1"/>
  <c r="M391" i="1"/>
  <c r="L391" i="1"/>
  <c r="K391" i="1"/>
  <c r="J391" i="1"/>
  <c r="M390" i="1"/>
  <c r="L390" i="1"/>
  <c r="K390" i="1"/>
  <c r="J390" i="1"/>
  <c r="M389" i="1"/>
  <c r="L389" i="1"/>
  <c r="K389" i="1"/>
  <c r="J389" i="1"/>
  <c r="M388" i="1"/>
  <c r="L388" i="1"/>
  <c r="K388" i="1"/>
  <c r="J388" i="1"/>
  <c r="M387" i="1"/>
  <c r="L387" i="1"/>
  <c r="K387" i="1"/>
  <c r="J387" i="1"/>
  <c r="M386" i="1"/>
  <c r="L386" i="1"/>
  <c r="K386" i="1"/>
  <c r="J386" i="1"/>
  <c r="M385" i="1"/>
  <c r="L385" i="1"/>
  <c r="K385" i="1"/>
  <c r="J385" i="1"/>
  <c r="M384" i="1"/>
  <c r="L384" i="1"/>
  <c r="K384" i="1"/>
  <c r="J384" i="1"/>
  <c r="M383" i="1"/>
  <c r="L383" i="1"/>
  <c r="K383" i="1"/>
  <c r="J383" i="1"/>
  <c r="M382" i="1"/>
  <c r="L382" i="1"/>
  <c r="K382" i="1"/>
  <c r="J382" i="1"/>
  <c r="M381" i="1"/>
  <c r="L381" i="1"/>
  <c r="K381" i="1"/>
  <c r="J381" i="1"/>
  <c r="M380" i="1"/>
  <c r="L380" i="1"/>
  <c r="K380" i="1"/>
  <c r="J380" i="1"/>
  <c r="M379" i="1"/>
  <c r="L379" i="1"/>
  <c r="K379" i="1"/>
  <c r="J379" i="1"/>
  <c r="M378" i="1"/>
  <c r="L378" i="1"/>
  <c r="K378" i="1"/>
  <c r="J378" i="1"/>
  <c r="M377" i="1"/>
  <c r="L377" i="1"/>
  <c r="K377" i="1"/>
  <c r="J377" i="1"/>
  <c r="M376" i="1"/>
  <c r="L376" i="1"/>
  <c r="K376" i="1"/>
  <c r="J376" i="1"/>
  <c r="M375" i="1"/>
  <c r="L375" i="1"/>
  <c r="K375" i="1"/>
  <c r="J375" i="1"/>
  <c r="M374" i="1"/>
  <c r="L374" i="1"/>
  <c r="K374" i="1"/>
  <c r="J374" i="1"/>
  <c r="M373" i="1"/>
  <c r="L373" i="1"/>
  <c r="K373" i="1"/>
  <c r="J373" i="1"/>
  <c r="M372" i="1"/>
  <c r="L372" i="1"/>
  <c r="K372" i="1"/>
  <c r="J372" i="1"/>
  <c r="M371" i="1"/>
  <c r="L371" i="1"/>
  <c r="K371" i="1"/>
  <c r="J371" i="1"/>
  <c r="M370" i="1"/>
  <c r="L370" i="1"/>
  <c r="K370" i="1"/>
  <c r="J370" i="1"/>
  <c r="M369" i="1"/>
  <c r="L369" i="1"/>
  <c r="K369" i="1"/>
  <c r="J369" i="1"/>
  <c r="M368" i="1"/>
  <c r="L368" i="1"/>
  <c r="K368" i="1"/>
  <c r="J368" i="1"/>
  <c r="M367" i="1"/>
  <c r="L367" i="1"/>
  <c r="K367" i="1"/>
  <c r="J367" i="1"/>
  <c r="M366" i="1"/>
  <c r="L366" i="1"/>
  <c r="K366" i="1"/>
  <c r="J366" i="1"/>
  <c r="M365" i="1"/>
  <c r="L365" i="1"/>
  <c r="K365" i="1"/>
  <c r="J365" i="1"/>
  <c r="M364" i="1"/>
  <c r="L364" i="1"/>
  <c r="K364" i="1"/>
  <c r="J364" i="1"/>
  <c r="M363" i="1"/>
  <c r="L363" i="1"/>
  <c r="K363" i="1"/>
  <c r="J363" i="1"/>
  <c r="M362" i="1"/>
  <c r="L362" i="1"/>
  <c r="K362" i="1"/>
  <c r="J362" i="1"/>
  <c r="M361" i="1"/>
  <c r="L361" i="1"/>
  <c r="K361" i="1"/>
  <c r="J361" i="1"/>
  <c r="M360" i="1"/>
  <c r="L360" i="1"/>
  <c r="K360" i="1"/>
  <c r="J360" i="1"/>
  <c r="M359" i="1"/>
  <c r="L359" i="1"/>
  <c r="K359" i="1"/>
  <c r="J359" i="1"/>
  <c r="M358" i="1"/>
  <c r="L358" i="1"/>
  <c r="K358" i="1"/>
  <c r="J358" i="1"/>
  <c r="M357" i="1"/>
  <c r="L357" i="1"/>
  <c r="K357" i="1"/>
  <c r="J357" i="1"/>
  <c r="M356" i="1"/>
  <c r="L356" i="1"/>
  <c r="K356" i="1"/>
  <c r="J356" i="1"/>
  <c r="M355" i="1"/>
  <c r="L355" i="1"/>
  <c r="K355" i="1"/>
  <c r="J355" i="1"/>
  <c r="M354" i="1"/>
  <c r="L354" i="1"/>
  <c r="K354" i="1"/>
  <c r="J354" i="1"/>
  <c r="M353" i="1"/>
  <c r="L353" i="1"/>
  <c r="K353" i="1"/>
  <c r="J353" i="1"/>
  <c r="M352" i="1"/>
  <c r="L352" i="1"/>
  <c r="K352" i="1"/>
  <c r="J352" i="1"/>
  <c r="M351" i="1"/>
  <c r="L351" i="1"/>
  <c r="K351" i="1"/>
  <c r="J351" i="1"/>
  <c r="M350" i="1"/>
  <c r="L350" i="1"/>
  <c r="K350" i="1"/>
  <c r="J350" i="1"/>
  <c r="M349" i="1"/>
  <c r="L349" i="1"/>
  <c r="K349" i="1"/>
  <c r="J349" i="1"/>
  <c r="M348" i="1"/>
  <c r="L348" i="1"/>
  <c r="K348" i="1"/>
  <c r="J348" i="1"/>
  <c r="M347" i="1"/>
  <c r="L347" i="1"/>
  <c r="K347" i="1"/>
  <c r="J347" i="1"/>
  <c r="M346" i="1"/>
  <c r="L346" i="1"/>
  <c r="K346" i="1"/>
  <c r="J346" i="1"/>
  <c r="M345" i="1"/>
  <c r="L345" i="1"/>
  <c r="K345" i="1"/>
  <c r="J345" i="1"/>
  <c r="M344" i="1"/>
  <c r="L344" i="1"/>
  <c r="K344" i="1"/>
  <c r="J344" i="1"/>
  <c r="M343" i="1"/>
  <c r="L343" i="1"/>
  <c r="K343" i="1"/>
  <c r="J343" i="1"/>
  <c r="M342" i="1"/>
  <c r="L342" i="1"/>
  <c r="K342" i="1"/>
  <c r="J342" i="1"/>
  <c r="M341" i="1"/>
  <c r="L341" i="1"/>
  <c r="K341" i="1"/>
  <c r="J341" i="1"/>
  <c r="M340" i="1"/>
  <c r="L340" i="1"/>
  <c r="K340" i="1"/>
  <c r="J340" i="1"/>
  <c r="M339" i="1"/>
  <c r="L339" i="1"/>
  <c r="K339" i="1"/>
  <c r="J339" i="1"/>
  <c r="M338" i="1"/>
  <c r="L338" i="1"/>
  <c r="K338" i="1"/>
  <c r="J338" i="1"/>
  <c r="M337" i="1"/>
  <c r="L337" i="1"/>
  <c r="K337" i="1"/>
  <c r="J337" i="1"/>
  <c r="M336" i="1"/>
  <c r="L336" i="1"/>
  <c r="K336" i="1"/>
  <c r="J336" i="1"/>
  <c r="M335" i="1"/>
  <c r="L335" i="1"/>
  <c r="K335" i="1"/>
  <c r="J335" i="1"/>
  <c r="M334" i="1"/>
  <c r="L334" i="1"/>
  <c r="K334" i="1"/>
  <c r="J334" i="1"/>
  <c r="M333" i="1"/>
  <c r="L333" i="1"/>
  <c r="K333" i="1"/>
  <c r="J333" i="1"/>
  <c r="M332" i="1"/>
  <c r="L332" i="1"/>
  <c r="K332" i="1"/>
  <c r="J332" i="1"/>
  <c r="M331" i="1"/>
  <c r="L331" i="1"/>
  <c r="K331" i="1"/>
  <c r="J331" i="1"/>
  <c r="M330" i="1"/>
  <c r="L330" i="1"/>
  <c r="K330" i="1"/>
  <c r="J330" i="1"/>
  <c r="M329" i="1"/>
  <c r="L329" i="1"/>
  <c r="K329" i="1"/>
  <c r="J329" i="1"/>
  <c r="M328" i="1"/>
  <c r="L328" i="1"/>
  <c r="K328" i="1"/>
  <c r="J328" i="1"/>
  <c r="M327" i="1"/>
  <c r="L327" i="1"/>
  <c r="K327" i="1"/>
  <c r="J327" i="1"/>
  <c r="M326" i="1"/>
  <c r="L326" i="1"/>
  <c r="K326" i="1"/>
  <c r="J326" i="1"/>
  <c r="M325" i="1"/>
  <c r="L325" i="1"/>
  <c r="K325" i="1"/>
  <c r="J325" i="1"/>
  <c r="M324" i="1"/>
  <c r="L324" i="1"/>
  <c r="K324" i="1"/>
  <c r="J324" i="1"/>
  <c r="M323" i="1"/>
  <c r="L323" i="1"/>
  <c r="K323" i="1"/>
  <c r="J323" i="1"/>
  <c r="M322" i="1"/>
  <c r="L322" i="1"/>
  <c r="K322" i="1"/>
  <c r="J322" i="1"/>
  <c r="M321" i="1"/>
  <c r="L321" i="1"/>
  <c r="K321" i="1"/>
  <c r="J321" i="1"/>
  <c r="M320" i="1"/>
  <c r="L320" i="1"/>
  <c r="K320" i="1"/>
  <c r="J320" i="1"/>
  <c r="M319" i="1"/>
  <c r="L319" i="1"/>
  <c r="K319" i="1"/>
  <c r="J319" i="1"/>
  <c r="M318" i="1"/>
  <c r="L318" i="1"/>
  <c r="K318" i="1"/>
  <c r="J318" i="1"/>
  <c r="M317" i="1"/>
  <c r="L317" i="1"/>
  <c r="K317" i="1"/>
  <c r="J317" i="1"/>
  <c r="M316" i="1"/>
  <c r="L316" i="1"/>
  <c r="K316" i="1"/>
  <c r="J316" i="1"/>
  <c r="M315" i="1"/>
  <c r="L315" i="1"/>
  <c r="K315" i="1"/>
  <c r="J315" i="1"/>
  <c r="M314" i="1"/>
  <c r="L314" i="1"/>
  <c r="K314" i="1"/>
  <c r="J314" i="1"/>
  <c r="M313" i="1"/>
  <c r="L313" i="1"/>
  <c r="K313" i="1"/>
  <c r="J313" i="1"/>
  <c r="M312" i="1"/>
  <c r="L312" i="1"/>
  <c r="K312" i="1"/>
  <c r="J312" i="1"/>
  <c r="M311" i="1"/>
  <c r="L311" i="1"/>
  <c r="K311" i="1"/>
  <c r="J311" i="1"/>
  <c r="M310" i="1"/>
  <c r="L310" i="1"/>
  <c r="K310" i="1"/>
  <c r="J310" i="1"/>
  <c r="M309" i="1"/>
  <c r="L309" i="1"/>
  <c r="K309" i="1"/>
  <c r="J309" i="1"/>
  <c r="M308" i="1"/>
  <c r="L308" i="1"/>
  <c r="K308" i="1"/>
  <c r="J308" i="1"/>
  <c r="M307" i="1"/>
  <c r="L307" i="1"/>
  <c r="K307" i="1"/>
  <c r="J307" i="1"/>
  <c r="M306" i="1"/>
  <c r="L306" i="1"/>
  <c r="K306" i="1"/>
  <c r="J306" i="1"/>
  <c r="M305" i="1"/>
  <c r="L305" i="1"/>
  <c r="K305" i="1"/>
  <c r="J305" i="1"/>
  <c r="M304" i="1"/>
  <c r="L304" i="1"/>
  <c r="K304" i="1"/>
  <c r="J304" i="1"/>
  <c r="M303" i="1"/>
  <c r="L303" i="1"/>
  <c r="K303" i="1"/>
  <c r="J303" i="1"/>
  <c r="M302" i="1"/>
  <c r="L302" i="1"/>
  <c r="K302" i="1"/>
  <c r="J302" i="1"/>
  <c r="M301" i="1"/>
  <c r="L301" i="1"/>
  <c r="K301" i="1"/>
  <c r="J301" i="1"/>
  <c r="M300" i="1"/>
  <c r="L300" i="1"/>
  <c r="K300" i="1"/>
  <c r="J300" i="1"/>
  <c r="M299" i="1"/>
  <c r="L299" i="1"/>
  <c r="K299" i="1"/>
  <c r="J299" i="1"/>
  <c r="M298" i="1"/>
  <c r="L298" i="1"/>
  <c r="K298" i="1"/>
  <c r="J298" i="1"/>
  <c r="M297" i="1"/>
  <c r="L297" i="1"/>
  <c r="K297" i="1"/>
  <c r="J297" i="1"/>
  <c r="M296" i="1"/>
  <c r="L296" i="1"/>
  <c r="K296" i="1"/>
  <c r="J296" i="1"/>
  <c r="M295" i="1"/>
  <c r="L295" i="1"/>
  <c r="K295" i="1"/>
  <c r="J295" i="1"/>
  <c r="M294" i="1"/>
  <c r="L294" i="1"/>
  <c r="K294" i="1"/>
  <c r="J294" i="1"/>
  <c r="M293" i="1"/>
  <c r="L293" i="1"/>
  <c r="K293" i="1"/>
  <c r="J293" i="1"/>
  <c r="M292" i="1"/>
  <c r="L292" i="1"/>
  <c r="K292" i="1"/>
  <c r="J292" i="1"/>
  <c r="M291" i="1"/>
  <c r="L291" i="1"/>
  <c r="K291" i="1"/>
  <c r="J291" i="1"/>
  <c r="M290" i="1"/>
  <c r="L290" i="1"/>
  <c r="K290" i="1"/>
  <c r="J290" i="1"/>
  <c r="M289" i="1"/>
  <c r="L289" i="1"/>
  <c r="K289" i="1"/>
  <c r="J289" i="1"/>
  <c r="M288" i="1"/>
  <c r="L288" i="1"/>
  <c r="K288" i="1"/>
  <c r="J288" i="1"/>
  <c r="M287" i="1"/>
  <c r="L287" i="1"/>
  <c r="K287" i="1"/>
  <c r="J287" i="1"/>
  <c r="M286" i="1"/>
  <c r="L286" i="1"/>
  <c r="K286" i="1"/>
  <c r="J286" i="1"/>
  <c r="M285" i="1"/>
  <c r="L285" i="1"/>
  <c r="K285" i="1"/>
  <c r="J285" i="1"/>
  <c r="M284" i="1"/>
  <c r="L284" i="1"/>
  <c r="K284" i="1"/>
  <c r="J284" i="1"/>
  <c r="M283" i="1"/>
  <c r="L283" i="1"/>
  <c r="K283" i="1"/>
  <c r="J283" i="1"/>
  <c r="M282" i="1"/>
  <c r="L282" i="1"/>
  <c r="K282" i="1"/>
  <c r="J282" i="1"/>
  <c r="M281" i="1"/>
  <c r="L281" i="1"/>
  <c r="K281" i="1"/>
  <c r="J281" i="1"/>
  <c r="M280" i="1"/>
  <c r="L280" i="1"/>
  <c r="K280" i="1"/>
  <c r="J280" i="1"/>
  <c r="M279" i="1"/>
  <c r="L279" i="1"/>
  <c r="K279" i="1"/>
  <c r="J279" i="1"/>
  <c r="M278" i="1"/>
  <c r="L278" i="1"/>
  <c r="K278" i="1"/>
  <c r="J278" i="1"/>
  <c r="M277" i="1"/>
  <c r="L277" i="1"/>
  <c r="K277" i="1"/>
  <c r="J277" i="1"/>
  <c r="M276" i="1"/>
  <c r="L276" i="1"/>
  <c r="K276" i="1"/>
  <c r="J276" i="1"/>
  <c r="M275" i="1"/>
  <c r="L275" i="1"/>
  <c r="K275" i="1"/>
  <c r="J275" i="1"/>
  <c r="M274" i="1"/>
  <c r="L274" i="1"/>
  <c r="K274" i="1"/>
  <c r="J274" i="1"/>
  <c r="M273" i="1"/>
  <c r="L273" i="1"/>
  <c r="K273" i="1"/>
  <c r="J273" i="1"/>
  <c r="M272" i="1"/>
  <c r="L272" i="1"/>
  <c r="K272" i="1"/>
  <c r="J272" i="1"/>
  <c r="M271" i="1"/>
  <c r="L271" i="1"/>
  <c r="K271" i="1"/>
  <c r="J271" i="1"/>
  <c r="M270" i="1"/>
  <c r="L270" i="1"/>
  <c r="K270" i="1"/>
  <c r="J270" i="1"/>
  <c r="M269" i="1"/>
  <c r="L269" i="1"/>
  <c r="K269" i="1"/>
  <c r="J269" i="1"/>
  <c r="M268" i="1"/>
  <c r="L268" i="1"/>
  <c r="K268" i="1"/>
  <c r="J268" i="1"/>
  <c r="M267" i="1"/>
  <c r="L267" i="1"/>
  <c r="K267" i="1"/>
  <c r="J267" i="1"/>
  <c r="M266" i="1"/>
  <c r="L266" i="1"/>
  <c r="K266" i="1"/>
  <c r="J266" i="1"/>
  <c r="M265" i="1"/>
  <c r="L265" i="1"/>
  <c r="K265" i="1"/>
  <c r="J265" i="1"/>
  <c r="M264" i="1"/>
  <c r="L264" i="1"/>
  <c r="K264" i="1"/>
  <c r="J264" i="1"/>
  <c r="M263" i="1"/>
  <c r="L263" i="1"/>
  <c r="K263" i="1"/>
  <c r="J263" i="1"/>
  <c r="M262" i="1"/>
  <c r="L262" i="1"/>
  <c r="K262" i="1"/>
  <c r="J262" i="1"/>
  <c r="M261" i="1"/>
  <c r="L261" i="1"/>
  <c r="K261" i="1"/>
  <c r="J261" i="1"/>
  <c r="M260" i="1"/>
  <c r="L260" i="1"/>
  <c r="K260" i="1"/>
  <c r="J260" i="1"/>
  <c r="M259" i="1"/>
  <c r="L259" i="1"/>
  <c r="K259" i="1"/>
  <c r="J259" i="1"/>
  <c r="M258" i="1"/>
  <c r="L258" i="1"/>
  <c r="K258" i="1"/>
  <c r="J258" i="1"/>
  <c r="M257" i="1"/>
  <c r="L257" i="1"/>
  <c r="K257" i="1"/>
  <c r="J257" i="1"/>
  <c r="M256" i="1"/>
  <c r="L256" i="1"/>
  <c r="K256" i="1"/>
  <c r="J256" i="1"/>
  <c r="M255" i="1"/>
  <c r="L255" i="1"/>
  <c r="K255" i="1"/>
  <c r="J255" i="1"/>
  <c r="M254" i="1"/>
  <c r="L254" i="1"/>
  <c r="K254" i="1"/>
  <c r="J254" i="1"/>
  <c r="M253" i="1"/>
  <c r="L253" i="1"/>
  <c r="K253" i="1"/>
  <c r="J253" i="1"/>
  <c r="M252" i="1"/>
  <c r="L252" i="1"/>
  <c r="K252" i="1"/>
  <c r="J252" i="1"/>
  <c r="M251" i="1"/>
  <c r="L251" i="1"/>
  <c r="K251" i="1"/>
  <c r="J251" i="1"/>
  <c r="M250" i="1"/>
  <c r="L250" i="1"/>
  <c r="K250" i="1"/>
  <c r="J250" i="1"/>
  <c r="M249" i="1"/>
  <c r="L249" i="1"/>
  <c r="K249" i="1"/>
  <c r="J249" i="1"/>
  <c r="M248" i="1"/>
  <c r="L248" i="1"/>
  <c r="K248" i="1"/>
  <c r="J248" i="1"/>
  <c r="M247" i="1"/>
  <c r="L247" i="1"/>
  <c r="K247" i="1"/>
  <c r="J247" i="1"/>
  <c r="M246" i="1"/>
  <c r="L246" i="1"/>
  <c r="K246" i="1"/>
  <c r="J246" i="1"/>
  <c r="M245" i="1"/>
  <c r="L245" i="1"/>
  <c r="K245" i="1"/>
  <c r="J245" i="1"/>
  <c r="M244" i="1"/>
  <c r="L244" i="1"/>
  <c r="K244" i="1"/>
  <c r="J244" i="1"/>
  <c r="M243" i="1"/>
  <c r="L243" i="1"/>
  <c r="K243" i="1"/>
  <c r="J243" i="1"/>
  <c r="M242" i="1"/>
  <c r="L242" i="1"/>
  <c r="K242" i="1"/>
  <c r="J242" i="1"/>
  <c r="M241" i="1"/>
  <c r="L241" i="1"/>
  <c r="K241" i="1"/>
  <c r="J241" i="1"/>
  <c r="M240" i="1"/>
  <c r="L240" i="1"/>
  <c r="K240" i="1"/>
  <c r="J240" i="1"/>
  <c r="M239" i="1"/>
  <c r="L239" i="1"/>
  <c r="K239" i="1"/>
  <c r="J239" i="1"/>
  <c r="M238" i="1"/>
  <c r="L238" i="1"/>
  <c r="K238" i="1"/>
  <c r="J238" i="1"/>
  <c r="M237" i="1"/>
  <c r="L237" i="1"/>
  <c r="K237" i="1"/>
  <c r="J237" i="1"/>
  <c r="M236" i="1"/>
  <c r="L236" i="1"/>
  <c r="K236" i="1"/>
  <c r="J236" i="1"/>
  <c r="M235" i="1"/>
  <c r="L235" i="1"/>
  <c r="K235" i="1"/>
  <c r="J235" i="1"/>
  <c r="M234" i="1"/>
  <c r="L234" i="1"/>
  <c r="K234" i="1"/>
  <c r="J234" i="1"/>
  <c r="M233" i="1"/>
  <c r="L233" i="1"/>
  <c r="K233" i="1"/>
  <c r="J233" i="1"/>
  <c r="M232" i="1"/>
  <c r="L232" i="1"/>
  <c r="K232" i="1"/>
  <c r="J232" i="1"/>
  <c r="M231" i="1"/>
  <c r="L231" i="1"/>
  <c r="K231" i="1"/>
  <c r="J231" i="1"/>
  <c r="M230" i="1"/>
  <c r="L230" i="1"/>
  <c r="K230" i="1"/>
  <c r="J230" i="1"/>
  <c r="M229" i="1"/>
  <c r="L229" i="1"/>
  <c r="K229" i="1"/>
  <c r="J229" i="1"/>
  <c r="M228" i="1"/>
  <c r="L228" i="1"/>
  <c r="K228" i="1"/>
  <c r="J228" i="1"/>
  <c r="M227" i="1"/>
  <c r="L227" i="1"/>
  <c r="K227" i="1"/>
  <c r="J227" i="1"/>
  <c r="M226" i="1"/>
  <c r="L226" i="1"/>
  <c r="K226" i="1"/>
  <c r="J226" i="1"/>
  <c r="M225" i="1"/>
  <c r="L225" i="1"/>
  <c r="K225" i="1"/>
  <c r="J225" i="1"/>
  <c r="M224" i="1"/>
  <c r="L224" i="1"/>
  <c r="K224" i="1"/>
  <c r="J224" i="1"/>
  <c r="M223" i="1"/>
  <c r="L223" i="1"/>
  <c r="K223" i="1"/>
  <c r="J223" i="1"/>
  <c r="M222" i="1"/>
  <c r="L222" i="1"/>
  <c r="K222" i="1"/>
  <c r="J222" i="1"/>
  <c r="M221" i="1"/>
  <c r="L221" i="1"/>
  <c r="K221" i="1"/>
  <c r="J221" i="1"/>
  <c r="M220" i="1"/>
  <c r="L220" i="1"/>
  <c r="K220" i="1"/>
  <c r="J220" i="1"/>
  <c r="M219" i="1"/>
  <c r="L219" i="1"/>
  <c r="K219" i="1"/>
  <c r="J219" i="1"/>
  <c r="M218" i="1"/>
  <c r="L218" i="1"/>
  <c r="K218" i="1"/>
  <c r="J218" i="1"/>
  <c r="M217" i="1"/>
  <c r="L217" i="1"/>
  <c r="K217" i="1"/>
  <c r="J217" i="1"/>
  <c r="M216" i="1"/>
  <c r="L216" i="1"/>
  <c r="K216" i="1"/>
  <c r="J216" i="1"/>
  <c r="M215" i="1"/>
  <c r="L215" i="1"/>
  <c r="K215" i="1"/>
  <c r="J215" i="1"/>
  <c r="M214" i="1"/>
  <c r="L214" i="1"/>
  <c r="K214" i="1"/>
  <c r="J214" i="1"/>
  <c r="M213" i="1"/>
  <c r="L213" i="1"/>
  <c r="K213" i="1"/>
  <c r="J213" i="1"/>
  <c r="M212" i="1"/>
  <c r="L212" i="1"/>
  <c r="K212" i="1"/>
  <c r="J212" i="1"/>
  <c r="M211" i="1"/>
  <c r="L211" i="1"/>
  <c r="K211" i="1"/>
  <c r="J211" i="1"/>
  <c r="M210" i="1"/>
  <c r="L210" i="1"/>
  <c r="K210" i="1"/>
  <c r="J210" i="1"/>
  <c r="M209" i="1"/>
  <c r="L209" i="1"/>
  <c r="K209" i="1"/>
  <c r="J209" i="1"/>
  <c r="M208" i="1"/>
  <c r="L208" i="1"/>
  <c r="K208" i="1"/>
  <c r="J208" i="1"/>
  <c r="M207" i="1"/>
  <c r="L207" i="1"/>
  <c r="K207" i="1"/>
  <c r="J207" i="1"/>
  <c r="M206" i="1"/>
  <c r="L206" i="1"/>
  <c r="K206" i="1"/>
  <c r="J206" i="1"/>
  <c r="M205" i="1"/>
  <c r="L205" i="1"/>
  <c r="K205" i="1"/>
  <c r="J205" i="1"/>
  <c r="M204" i="1"/>
  <c r="L204" i="1"/>
  <c r="K204" i="1"/>
  <c r="J204" i="1"/>
  <c r="M203" i="1"/>
  <c r="L203" i="1"/>
  <c r="K203" i="1"/>
  <c r="J203" i="1"/>
  <c r="M202" i="1"/>
  <c r="L202" i="1"/>
  <c r="K202" i="1"/>
  <c r="J202" i="1"/>
  <c r="M201" i="1"/>
  <c r="L201" i="1"/>
  <c r="K201" i="1"/>
  <c r="J201" i="1"/>
  <c r="M200" i="1"/>
  <c r="L200" i="1"/>
  <c r="K200" i="1"/>
  <c r="J200" i="1"/>
  <c r="M199" i="1"/>
  <c r="L199" i="1"/>
  <c r="K199" i="1"/>
  <c r="J199" i="1"/>
  <c r="M198" i="1"/>
  <c r="L198" i="1"/>
  <c r="K198" i="1"/>
  <c r="J198" i="1"/>
  <c r="M197" i="1"/>
  <c r="L197" i="1"/>
  <c r="K197" i="1"/>
  <c r="J197" i="1"/>
  <c r="M196" i="1"/>
  <c r="L196" i="1"/>
  <c r="K196" i="1"/>
  <c r="J196" i="1"/>
  <c r="M195" i="1"/>
  <c r="L195" i="1"/>
  <c r="K195" i="1"/>
  <c r="J195" i="1"/>
  <c r="M194" i="1"/>
  <c r="L194" i="1"/>
  <c r="K194" i="1"/>
  <c r="J194" i="1"/>
  <c r="M193" i="1"/>
  <c r="L193" i="1"/>
  <c r="K193" i="1"/>
  <c r="J193" i="1"/>
  <c r="M192" i="1"/>
  <c r="L192" i="1"/>
  <c r="K192" i="1"/>
  <c r="J192" i="1"/>
  <c r="M191" i="1"/>
  <c r="L191" i="1"/>
  <c r="K191" i="1"/>
  <c r="J191" i="1"/>
  <c r="M190" i="1"/>
  <c r="L190" i="1"/>
  <c r="K190" i="1"/>
  <c r="J190" i="1"/>
  <c r="M189" i="1"/>
  <c r="L189" i="1"/>
  <c r="K189" i="1"/>
  <c r="J189" i="1"/>
  <c r="M188" i="1"/>
  <c r="L188" i="1"/>
  <c r="K188" i="1"/>
  <c r="J188" i="1"/>
  <c r="M187" i="1"/>
  <c r="L187" i="1"/>
  <c r="K187" i="1"/>
  <c r="J187" i="1"/>
  <c r="M186" i="1"/>
  <c r="L186" i="1"/>
  <c r="K186" i="1"/>
  <c r="J186" i="1"/>
  <c r="M185" i="1"/>
  <c r="L185" i="1"/>
  <c r="K185" i="1"/>
  <c r="J185" i="1"/>
  <c r="M184" i="1"/>
  <c r="L184" i="1"/>
  <c r="K184" i="1"/>
  <c r="J184" i="1"/>
  <c r="M183" i="1"/>
  <c r="L183" i="1"/>
  <c r="K183" i="1"/>
  <c r="J183" i="1"/>
  <c r="M182" i="1"/>
  <c r="L182" i="1"/>
  <c r="K182" i="1"/>
  <c r="J182" i="1"/>
  <c r="M181" i="1"/>
  <c r="L181" i="1"/>
  <c r="K181" i="1"/>
  <c r="J181" i="1"/>
  <c r="M180" i="1"/>
  <c r="L180" i="1"/>
  <c r="K180" i="1"/>
  <c r="J180" i="1"/>
  <c r="M179" i="1"/>
  <c r="L179" i="1"/>
  <c r="K179" i="1"/>
  <c r="J179" i="1"/>
  <c r="M178" i="1"/>
  <c r="L178" i="1"/>
  <c r="K178" i="1"/>
  <c r="J178" i="1"/>
  <c r="M177" i="1"/>
  <c r="L177" i="1"/>
  <c r="K177" i="1"/>
  <c r="J177" i="1"/>
  <c r="M176" i="1"/>
  <c r="L176" i="1"/>
  <c r="K176" i="1"/>
  <c r="J176" i="1"/>
  <c r="M175" i="1"/>
  <c r="L175" i="1"/>
  <c r="K175" i="1"/>
  <c r="J175" i="1"/>
  <c r="M174" i="1"/>
  <c r="L174" i="1"/>
  <c r="K174" i="1"/>
  <c r="J174" i="1"/>
  <c r="M173" i="1"/>
  <c r="L173" i="1"/>
  <c r="K173" i="1"/>
  <c r="J173" i="1"/>
  <c r="M172" i="1"/>
  <c r="L172" i="1"/>
  <c r="K172" i="1"/>
  <c r="J172" i="1"/>
  <c r="M171" i="1"/>
  <c r="L171" i="1"/>
  <c r="K171" i="1"/>
  <c r="J171" i="1"/>
  <c r="M170" i="1"/>
  <c r="L170" i="1"/>
  <c r="K170" i="1"/>
  <c r="J170" i="1"/>
  <c r="M169" i="1"/>
  <c r="L169" i="1"/>
  <c r="K169" i="1"/>
  <c r="J169" i="1"/>
  <c r="M168" i="1"/>
  <c r="L168" i="1"/>
  <c r="K168" i="1"/>
  <c r="J168" i="1"/>
  <c r="M167" i="1"/>
  <c r="L167" i="1"/>
  <c r="K167" i="1"/>
  <c r="J167" i="1"/>
  <c r="M166" i="1"/>
  <c r="L166" i="1"/>
  <c r="K166" i="1"/>
  <c r="J166" i="1"/>
  <c r="M165" i="1"/>
  <c r="L165" i="1"/>
  <c r="K165" i="1"/>
  <c r="J165" i="1"/>
  <c r="M164" i="1"/>
  <c r="L164" i="1"/>
  <c r="K164" i="1"/>
  <c r="J164" i="1"/>
  <c r="M163" i="1"/>
  <c r="L163" i="1"/>
  <c r="K163" i="1"/>
  <c r="J163" i="1"/>
  <c r="M162" i="1"/>
  <c r="L162" i="1"/>
  <c r="K162" i="1"/>
  <c r="J162" i="1"/>
  <c r="M161" i="1"/>
  <c r="L161" i="1"/>
  <c r="K161" i="1"/>
  <c r="J161" i="1"/>
  <c r="M160" i="1"/>
  <c r="L160" i="1"/>
  <c r="K160" i="1"/>
  <c r="J160" i="1"/>
  <c r="M159" i="1"/>
  <c r="L159" i="1"/>
  <c r="K159" i="1"/>
  <c r="J159" i="1"/>
  <c r="M158" i="1"/>
  <c r="L158" i="1"/>
  <c r="K158" i="1"/>
  <c r="J158" i="1"/>
  <c r="M157" i="1"/>
  <c r="L157" i="1"/>
  <c r="K157" i="1"/>
  <c r="J157" i="1"/>
  <c r="M156" i="1"/>
  <c r="L156" i="1"/>
  <c r="K156" i="1"/>
  <c r="J156" i="1"/>
  <c r="M155" i="1"/>
  <c r="L155" i="1"/>
  <c r="K155" i="1"/>
  <c r="J155" i="1"/>
  <c r="M154" i="1"/>
  <c r="L154" i="1"/>
  <c r="K154" i="1"/>
  <c r="J154" i="1"/>
  <c r="M153" i="1"/>
  <c r="L153" i="1"/>
  <c r="K153" i="1"/>
  <c r="J153" i="1"/>
  <c r="M152" i="1"/>
  <c r="L152" i="1"/>
  <c r="K152" i="1"/>
  <c r="J152" i="1"/>
  <c r="M151" i="1"/>
  <c r="L151" i="1"/>
  <c r="K151" i="1"/>
  <c r="J151" i="1"/>
  <c r="M150" i="1"/>
  <c r="L150" i="1"/>
  <c r="K150" i="1"/>
  <c r="J150" i="1"/>
  <c r="M149" i="1"/>
  <c r="L149" i="1"/>
  <c r="K149" i="1"/>
  <c r="J149" i="1"/>
  <c r="M148" i="1"/>
  <c r="L148" i="1"/>
  <c r="K148" i="1"/>
  <c r="J148" i="1"/>
  <c r="M147" i="1"/>
  <c r="L147" i="1"/>
  <c r="K147" i="1"/>
  <c r="J147" i="1"/>
  <c r="M146" i="1"/>
  <c r="L146" i="1"/>
  <c r="K146" i="1"/>
  <c r="J146" i="1"/>
  <c r="M145" i="1"/>
  <c r="L145" i="1"/>
  <c r="K145" i="1"/>
  <c r="J145" i="1"/>
  <c r="M144" i="1"/>
  <c r="L144" i="1"/>
  <c r="K144" i="1"/>
  <c r="J144" i="1"/>
  <c r="M143" i="1"/>
  <c r="L143" i="1"/>
  <c r="K143" i="1"/>
  <c r="J143" i="1"/>
  <c r="M142" i="1"/>
  <c r="L142" i="1"/>
  <c r="K142" i="1"/>
  <c r="J142" i="1"/>
  <c r="M141" i="1"/>
  <c r="L141" i="1"/>
  <c r="K141" i="1"/>
  <c r="J141" i="1"/>
  <c r="M140" i="1"/>
  <c r="L140" i="1"/>
  <c r="K140" i="1"/>
  <c r="J140" i="1"/>
  <c r="M139" i="1"/>
  <c r="L139" i="1"/>
  <c r="K139" i="1"/>
  <c r="J139" i="1"/>
  <c r="M138" i="1"/>
  <c r="L138" i="1"/>
  <c r="K138" i="1"/>
  <c r="J138" i="1"/>
  <c r="M137" i="1"/>
  <c r="L137" i="1"/>
  <c r="K137" i="1"/>
  <c r="J137" i="1"/>
  <c r="M136" i="1"/>
  <c r="L136" i="1"/>
  <c r="K136" i="1"/>
  <c r="J136" i="1"/>
  <c r="M135" i="1"/>
  <c r="L135" i="1"/>
  <c r="K135" i="1"/>
  <c r="J135" i="1"/>
  <c r="M134" i="1"/>
  <c r="L134" i="1"/>
  <c r="K134" i="1"/>
  <c r="J134" i="1"/>
  <c r="M133" i="1"/>
  <c r="L133" i="1"/>
  <c r="K133" i="1"/>
  <c r="J133" i="1"/>
  <c r="M132" i="1"/>
  <c r="L132" i="1"/>
  <c r="K132" i="1"/>
  <c r="J132" i="1"/>
  <c r="M131" i="1"/>
  <c r="L131" i="1"/>
  <c r="K131" i="1"/>
  <c r="J131" i="1"/>
  <c r="M130" i="1"/>
  <c r="L130" i="1"/>
  <c r="K130" i="1"/>
  <c r="J130" i="1"/>
  <c r="M129" i="1"/>
  <c r="L129" i="1"/>
  <c r="K129" i="1"/>
  <c r="J129" i="1"/>
  <c r="M128" i="1"/>
  <c r="L128" i="1"/>
  <c r="K128" i="1"/>
  <c r="J128" i="1"/>
  <c r="M127" i="1"/>
  <c r="L127" i="1"/>
  <c r="K127" i="1"/>
  <c r="J127" i="1"/>
  <c r="M126" i="1"/>
  <c r="L126" i="1"/>
  <c r="K126" i="1"/>
  <c r="J126" i="1"/>
  <c r="M125" i="1"/>
  <c r="L125" i="1"/>
  <c r="K125" i="1"/>
  <c r="J125" i="1"/>
  <c r="M124" i="1"/>
  <c r="L124" i="1"/>
  <c r="K124" i="1"/>
  <c r="J124" i="1"/>
  <c r="M123" i="1"/>
  <c r="L123" i="1"/>
  <c r="K123" i="1"/>
  <c r="J123" i="1"/>
  <c r="M122" i="1"/>
  <c r="L122" i="1"/>
  <c r="K122" i="1"/>
  <c r="J122" i="1"/>
  <c r="M121" i="1"/>
  <c r="L121" i="1"/>
  <c r="K121" i="1"/>
  <c r="J121" i="1"/>
  <c r="M120" i="1"/>
  <c r="L120" i="1"/>
  <c r="K120" i="1"/>
  <c r="J120" i="1"/>
  <c r="M119" i="1"/>
  <c r="L119" i="1"/>
  <c r="K119" i="1"/>
  <c r="J119" i="1"/>
  <c r="M118" i="1"/>
  <c r="L118" i="1"/>
  <c r="K118" i="1"/>
  <c r="J118" i="1"/>
  <c r="M117" i="1"/>
  <c r="L117" i="1"/>
  <c r="K117" i="1"/>
  <c r="J117" i="1"/>
  <c r="M116" i="1"/>
  <c r="L116" i="1"/>
  <c r="K116" i="1"/>
  <c r="J116" i="1"/>
  <c r="M115" i="1"/>
  <c r="L115" i="1"/>
  <c r="K115" i="1"/>
  <c r="J115" i="1"/>
  <c r="M114" i="1"/>
  <c r="L114" i="1"/>
  <c r="K114" i="1"/>
  <c r="J114" i="1"/>
  <c r="M113" i="1"/>
  <c r="L113" i="1"/>
  <c r="K113" i="1"/>
  <c r="J113" i="1"/>
  <c r="M112" i="1"/>
  <c r="L112" i="1"/>
  <c r="K112" i="1"/>
  <c r="J112" i="1"/>
  <c r="M111" i="1"/>
  <c r="L111" i="1"/>
  <c r="K111" i="1"/>
  <c r="J111" i="1"/>
  <c r="M110" i="1"/>
  <c r="L110" i="1"/>
  <c r="K110" i="1"/>
  <c r="J110" i="1"/>
  <c r="M109" i="1"/>
  <c r="L109" i="1"/>
  <c r="K109" i="1"/>
  <c r="J109" i="1"/>
  <c r="M108" i="1"/>
  <c r="L108" i="1"/>
  <c r="K108" i="1"/>
  <c r="J108" i="1"/>
  <c r="M107" i="1"/>
  <c r="L107" i="1"/>
  <c r="K107" i="1"/>
  <c r="J107" i="1"/>
  <c r="M106" i="1"/>
  <c r="L106" i="1"/>
  <c r="K106" i="1"/>
  <c r="J106" i="1"/>
  <c r="M105" i="1"/>
  <c r="L105" i="1"/>
  <c r="K105" i="1"/>
  <c r="J105" i="1"/>
  <c r="M104" i="1"/>
  <c r="L104" i="1"/>
  <c r="K104" i="1"/>
  <c r="J104" i="1"/>
  <c r="M103" i="1"/>
  <c r="L103" i="1"/>
  <c r="K103" i="1"/>
  <c r="J103" i="1"/>
  <c r="M102" i="1"/>
  <c r="L102" i="1"/>
  <c r="K102" i="1"/>
  <c r="J102" i="1"/>
  <c r="M101" i="1"/>
  <c r="L101" i="1"/>
  <c r="K101" i="1"/>
  <c r="J101" i="1"/>
  <c r="M100" i="1"/>
  <c r="L100" i="1"/>
  <c r="K100" i="1"/>
  <c r="J100" i="1"/>
  <c r="M99" i="1"/>
  <c r="L99" i="1"/>
  <c r="K99" i="1"/>
  <c r="J99" i="1"/>
  <c r="M98" i="1"/>
  <c r="L98" i="1"/>
  <c r="K98" i="1"/>
  <c r="J98" i="1"/>
  <c r="M97" i="1"/>
  <c r="L97" i="1"/>
  <c r="K97" i="1"/>
  <c r="J97" i="1"/>
  <c r="M96" i="1"/>
  <c r="L96" i="1"/>
  <c r="K96" i="1"/>
  <c r="J96" i="1"/>
  <c r="M95" i="1"/>
  <c r="L95" i="1"/>
  <c r="K95" i="1"/>
  <c r="J95" i="1"/>
  <c r="M94" i="1"/>
  <c r="L94" i="1"/>
  <c r="K94" i="1"/>
  <c r="J94" i="1"/>
  <c r="M93" i="1"/>
  <c r="L93" i="1"/>
  <c r="K93" i="1"/>
  <c r="J93" i="1"/>
  <c r="M92" i="1"/>
  <c r="L92" i="1"/>
  <c r="K92" i="1"/>
  <c r="J92" i="1"/>
  <c r="M91" i="1"/>
  <c r="L91" i="1"/>
  <c r="K91" i="1"/>
  <c r="J91" i="1"/>
  <c r="M90" i="1"/>
  <c r="L90" i="1"/>
  <c r="K90" i="1"/>
  <c r="J90" i="1"/>
  <c r="M89" i="1"/>
  <c r="L89" i="1"/>
  <c r="K89" i="1"/>
  <c r="J89" i="1"/>
  <c r="M88" i="1"/>
  <c r="L88" i="1"/>
  <c r="K88" i="1"/>
  <c r="J88" i="1"/>
  <c r="M87" i="1"/>
  <c r="L87" i="1"/>
  <c r="K87" i="1"/>
  <c r="J87" i="1"/>
  <c r="M86" i="1"/>
  <c r="L86" i="1"/>
  <c r="K86" i="1"/>
  <c r="J86" i="1"/>
  <c r="M85" i="1"/>
  <c r="L85" i="1"/>
  <c r="K85" i="1"/>
  <c r="J85" i="1"/>
  <c r="M84" i="1"/>
  <c r="L84" i="1"/>
  <c r="K84" i="1"/>
  <c r="J84" i="1"/>
  <c r="M83" i="1"/>
  <c r="L83" i="1"/>
  <c r="K83" i="1"/>
  <c r="J83" i="1"/>
  <c r="M82" i="1"/>
  <c r="L82" i="1"/>
  <c r="K82" i="1"/>
  <c r="J82" i="1"/>
  <c r="M81" i="1"/>
  <c r="L81" i="1"/>
  <c r="K81" i="1"/>
  <c r="J81" i="1"/>
  <c r="M80" i="1"/>
  <c r="L80" i="1"/>
  <c r="K80" i="1"/>
  <c r="J80" i="1"/>
  <c r="M79" i="1"/>
  <c r="L79" i="1"/>
  <c r="K79" i="1"/>
  <c r="J79" i="1"/>
  <c r="M78" i="1"/>
  <c r="L78" i="1"/>
  <c r="K78" i="1"/>
  <c r="J78" i="1"/>
  <c r="M77" i="1"/>
  <c r="L77" i="1"/>
  <c r="K77" i="1"/>
  <c r="J77" i="1"/>
  <c r="M76" i="1"/>
  <c r="L76" i="1"/>
  <c r="K76" i="1"/>
  <c r="J76" i="1"/>
  <c r="M75" i="1"/>
  <c r="L75" i="1"/>
  <c r="K75" i="1"/>
  <c r="J75" i="1"/>
  <c r="M74" i="1"/>
  <c r="L74" i="1"/>
  <c r="K74" i="1"/>
  <c r="J74" i="1"/>
  <c r="M73" i="1"/>
  <c r="L73" i="1"/>
  <c r="K73" i="1"/>
  <c r="J73" i="1"/>
  <c r="M72" i="1"/>
  <c r="L72" i="1"/>
  <c r="K72" i="1"/>
  <c r="J72" i="1"/>
  <c r="M71" i="1"/>
  <c r="L71" i="1"/>
  <c r="K71" i="1"/>
  <c r="J71" i="1"/>
  <c r="M70" i="1"/>
  <c r="L70" i="1"/>
  <c r="K70" i="1"/>
  <c r="J70" i="1"/>
  <c r="M69" i="1"/>
  <c r="L69" i="1"/>
  <c r="K69" i="1"/>
  <c r="J69" i="1"/>
  <c r="M68" i="1"/>
  <c r="L68" i="1"/>
  <c r="K68" i="1"/>
  <c r="J68" i="1"/>
  <c r="M67" i="1"/>
  <c r="L67" i="1"/>
  <c r="K67" i="1"/>
  <c r="J67" i="1"/>
  <c r="M66" i="1"/>
  <c r="L66" i="1"/>
  <c r="K66" i="1"/>
  <c r="J66" i="1"/>
  <c r="M65" i="1"/>
  <c r="L65" i="1"/>
  <c r="K65" i="1"/>
  <c r="J65" i="1"/>
  <c r="M64" i="1"/>
  <c r="L64" i="1"/>
  <c r="K64" i="1"/>
  <c r="J64" i="1"/>
  <c r="M63" i="1"/>
  <c r="L63" i="1"/>
  <c r="K63" i="1"/>
  <c r="J63" i="1"/>
  <c r="M62" i="1"/>
  <c r="L62" i="1"/>
  <c r="K62" i="1"/>
  <c r="J62" i="1"/>
  <c r="M61" i="1"/>
  <c r="L61" i="1"/>
  <c r="K61" i="1"/>
  <c r="J61" i="1"/>
  <c r="M60" i="1"/>
  <c r="L60" i="1"/>
  <c r="K60" i="1"/>
  <c r="J60" i="1"/>
  <c r="M59" i="1"/>
  <c r="L59" i="1"/>
  <c r="K59" i="1"/>
  <c r="J59" i="1"/>
  <c r="M58" i="1"/>
  <c r="L58" i="1"/>
  <c r="K58" i="1"/>
  <c r="J58" i="1"/>
  <c r="M57" i="1"/>
  <c r="L57" i="1"/>
  <c r="K57" i="1"/>
  <c r="J57" i="1"/>
  <c r="M56" i="1"/>
  <c r="L56" i="1"/>
  <c r="K56" i="1"/>
  <c r="J56" i="1"/>
  <c r="M55" i="1"/>
  <c r="L55" i="1"/>
  <c r="K55" i="1"/>
  <c r="J55" i="1"/>
  <c r="M54" i="1"/>
  <c r="L54" i="1"/>
  <c r="K54" i="1"/>
  <c r="J54" i="1"/>
  <c r="M53" i="1"/>
  <c r="L53" i="1"/>
  <c r="K53" i="1"/>
  <c r="J53" i="1"/>
  <c r="M52" i="1"/>
  <c r="L52" i="1"/>
  <c r="K52" i="1"/>
  <c r="J52" i="1"/>
  <c r="M51" i="1"/>
  <c r="L51" i="1"/>
  <c r="K51" i="1"/>
  <c r="J51" i="1"/>
  <c r="M50" i="1"/>
  <c r="L50" i="1"/>
  <c r="K50" i="1"/>
  <c r="J50" i="1"/>
  <c r="M49" i="1"/>
  <c r="L49" i="1"/>
  <c r="K49" i="1"/>
  <c r="J49" i="1"/>
  <c r="M48" i="1"/>
  <c r="L48" i="1"/>
  <c r="K48" i="1"/>
  <c r="J48" i="1"/>
  <c r="M47" i="1"/>
  <c r="L47" i="1"/>
  <c r="K47" i="1"/>
  <c r="J47" i="1"/>
  <c r="M46" i="1"/>
  <c r="L46" i="1"/>
  <c r="K46" i="1"/>
  <c r="J46" i="1"/>
  <c r="M45" i="1"/>
  <c r="L45" i="1"/>
  <c r="K45" i="1"/>
  <c r="J45" i="1"/>
  <c r="M44" i="1"/>
  <c r="L44" i="1"/>
  <c r="K44" i="1"/>
  <c r="J44" i="1"/>
  <c r="M43" i="1"/>
  <c r="L43" i="1"/>
  <c r="K43" i="1"/>
  <c r="J43" i="1"/>
  <c r="M42" i="1"/>
  <c r="L42" i="1"/>
  <c r="K42" i="1"/>
  <c r="J42" i="1"/>
  <c r="M41" i="1"/>
  <c r="L41" i="1"/>
  <c r="K41" i="1"/>
  <c r="J41" i="1"/>
  <c r="M40" i="1"/>
  <c r="L40" i="1"/>
  <c r="K40" i="1"/>
  <c r="J40" i="1"/>
  <c r="M39" i="1"/>
  <c r="L39" i="1"/>
  <c r="K39" i="1"/>
  <c r="J39" i="1"/>
  <c r="M38" i="1"/>
  <c r="L38" i="1"/>
  <c r="K38" i="1"/>
  <c r="J38" i="1"/>
  <c r="M37" i="1"/>
  <c r="L37" i="1"/>
  <c r="K37" i="1"/>
  <c r="J37" i="1"/>
  <c r="M36" i="1"/>
  <c r="L36" i="1"/>
  <c r="K36" i="1"/>
  <c r="J36" i="1"/>
  <c r="M35" i="1"/>
  <c r="L35" i="1"/>
  <c r="K35" i="1"/>
  <c r="J35" i="1"/>
  <c r="M34" i="1"/>
  <c r="L34" i="1"/>
  <c r="K34" i="1"/>
  <c r="J34" i="1"/>
  <c r="M33" i="1"/>
  <c r="L33" i="1"/>
  <c r="K33" i="1"/>
  <c r="J33" i="1"/>
  <c r="M32" i="1"/>
  <c r="L32" i="1"/>
  <c r="K32" i="1"/>
  <c r="J32" i="1"/>
  <c r="M31" i="1"/>
  <c r="L31" i="1"/>
  <c r="K31" i="1"/>
  <c r="J31" i="1"/>
  <c r="M30" i="1"/>
  <c r="L30" i="1"/>
  <c r="K30" i="1"/>
  <c r="J30" i="1"/>
  <c r="M29" i="1"/>
  <c r="L29" i="1"/>
  <c r="K29" i="1"/>
  <c r="J29" i="1"/>
  <c r="M28" i="1"/>
  <c r="L28" i="1"/>
  <c r="K28" i="1"/>
  <c r="J28" i="1"/>
  <c r="M27" i="1"/>
  <c r="L27" i="1"/>
  <c r="K27" i="1"/>
  <c r="J27" i="1"/>
  <c r="M26" i="1"/>
  <c r="L26" i="1"/>
  <c r="K26" i="1"/>
  <c r="J26" i="1"/>
  <c r="M25" i="1"/>
  <c r="L25" i="1"/>
  <c r="K25" i="1"/>
  <c r="J25" i="1"/>
  <c r="M24" i="1"/>
  <c r="L24" i="1"/>
  <c r="K24" i="1"/>
  <c r="J24" i="1"/>
  <c r="M23" i="1"/>
  <c r="L23" i="1"/>
  <c r="K23" i="1"/>
  <c r="J23" i="1"/>
  <c r="M22" i="1"/>
  <c r="L22" i="1"/>
  <c r="K22" i="1"/>
  <c r="J22" i="1"/>
  <c r="M21" i="1"/>
  <c r="L21" i="1"/>
  <c r="K21" i="1"/>
  <c r="J21" i="1"/>
  <c r="M20" i="1"/>
  <c r="L20" i="1"/>
  <c r="K20" i="1"/>
  <c r="J20" i="1"/>
  <c r="M19" i="1"/>
  <c r="L19" i="1"/>
  <c r="K19" i="1"/>
  <c r="J19" i="1"/>
  <c r="M18" i="1"/>
  <c r="L18" i="1"/>
  <c r="K18" i="1"/>
  <c r="J18" i="1"/>
  <c r="M17" i="1"/>
  <c r="L17" i="1"/>
  <c r="K17" i="1"/>
  <c r="J17" i="1"/>
  <c r="M16" i="1"/>
  <c r="L16" i="1"/>
  <c r="K16" i="1"/>
  <c r="J16" i="1"/>
  <c r="M15" i="1"/>
  <c r="L15" i="1"/>
  <c r="K15" i="1"/>
  <c r="J15" i="1"/>
  <c r="M14" i="1"/>
  <c r="L14" i="1"/>
  <c r="K14" i="1"/>
  <c r="J14" i="1"/>
  <c r="M13" i="1"/>
  <c r="L13" i="1"/>
  <c r="K13" i="1"/>
  <c r="J13" i="1"/>
  <c r="M12" i="1"/>
  <c r="L12" i="1"/>
  <c r="K12" i="1"/>
  <c r="J12" i="1"/>
  <c r="M11" i="1"/>
  <c r="L11" i="1"/>
  <c r="K11" i="1"/>
  <c r="J11" i="1"/>
  <c r="M10" i="1"/>
  <c r="L10" i="1"/>
  <c r="K10" i="1"/>
  <c r="J10" i="1"/>
  <c r="M9" i="1"/>
  <c r="L9" i="1"/>
  <c r="K9" i="1"/>
  <c r="J9" i="1"/>
  <c r="M8" i="1"/>
  <c r="L8" i="1"/>
  <c r="K8" i="1"/>
  <c r="J8" i="1"/>
  <c r="M7" i="1"/>
  <c r="L7" i="1"/>
  <c r="K7" i="1"/>
  <c r="J7" i="1"/>
  <c r="M6" i="1"/>
  <c r="L6" i="1"/>
  <c r="K6" i="1"/>
  <c r="J6" i="1"/>
  <c r="M5" i="1"/>
  <c r="L5" i="1"/>
  <c r="K5" i="1"/>
  <c r="J5" i="1"/>
  <c r="M4" i="1"/>
  <c r="L4" i="1"/>
  <c r="K4" i="1"/>
  <c r="J4" i="1"/>
  <c r="M3" i="1"/>
  <c r="L3" i="1"/>
  <c r="K3" i="1"/>
  <c r="J3" i="1"/>
  <c r="M2" i="1"/>
  <c r="L2" i="1"/>
  <c r="K2" i="1"/>
  <c r="J2" i="1"/>
</calcChain>
</file>

<file path=xl/sharedStrings.xml><?xml version="1.0" encoding="utf-8"?>
<sst xmlns="http://schemas.openxmlformats.org/spreadsheetml/2006/main" count="2114" uniqueCount="463">
  <si>
    <t>Patient ID</t>
  </si>
  <si>
    <t>Department</t>
  </si>
  <si>
    <t>Treatment Type</t>
  </si>
  <si>
    <t>Doctor Name</t>
  </si>
  <si>
    <t>Gender</t>
  </si>
  <si>
    <t>Age</t>
  </si>
  <si>
    <t>Treatment Cost</t>
  </si>
  <si>
    <t>Hospital Stay (Days)</t>
  </si>
  <si>
    <t>Recovery Score</t>
  </si>
  <si>
    <t>Age Group</t>
  </si>
  <si>
    <t>Cost Category</t>
  </si>
  <si>
    <t>Stay Category</t>
  </si>
  <si>
    <t>Recovery Status</t>
  </si>
  <si>
    <t>P1001</t>
  </si>
  <si>
    <t>Dermatology</t>
  </si>
  <si>
    <t>Surgery</t>
  </si>
  <si>
    <t>Dr. Smith</t>
  </si>
  <si>
    <t>Female</t>
  </si>
  <si>
    <t>P1002</t>
  </si>
  <si>
    <t>Cardiology</t>
  </si>
  <si>
    <t>Dr. Martinez</t>
  </si>
  <si>
    <t>Male</t>
  </si>
  <si>
    <t>P1003</t>
  </si>
  <si>
    <t>Oncology</t>
  </si>
  <si>
    <t>Dr. Rodriguez</t>
  </si>
  <si>
    <t>P1004</t>
  </si>
  <si>
    <t>Orthopedics</t>
  </si>
  <si>
    <t>Observation</t>
  </si>
  <si>
    <t>P1005</t>
  </si>
  <si>
    <t>Pediatrics</t>
  </si>
  <si>
    <t>Therapy</t>
  </si>
  <si>
    <t>Dr. Jones</t>
  </si>
  <si>
    <t>P1006</t>
  </si>
  <si>
    <t>Dr. Garcia</t>
  </si>
  <si>
    <t>P1007</t>
  </si>
  <si>
    <t>Dr. Johnson</t>
  </si>
  <si>
    <t>P1008</t>
  </si>
  <si>
    <t>P1009</t>
  </si>
  <si>
    <t>Dr. Davis</t>
  </si>
  <si>
    <t>P1010</t>
  </si>
  <si>
    <t>P1011</t>
  </si>
  <si>
    <t>Other</t>
  </si>
  <si>
    <t>P1012</t>
  </si>
  <si>
    <t>P1013</t>
  </si>
  <si>
    <t>Medication</t>
  </si>
  <si>
    <t>P1014</t>
  </si>
  <si>
    <t>Dr. Williams</t>
  </si>
  <si>
    <t>P1015</t>
  </si>
  <si>
    <t>Neurology</t>
  </si>
  <si>
    <t>P1016</t>
  </si>
  <si>
    <t>P1017</t>
  </si>
  <si>
    <t>Dr. Miller</t>
  </si>
  <si>
    <t>P1018</t>
  </si>
  <si>
    <t>General Medicine</t>
  </si>
  <si>
    <t>P1019</t>
  </si>
  <si>
    <t>P1020</t>
  </si>
  <si>
    <t>P1021</t>
  </si>
  <si>
    <t>P1022</t>
  </si>
  <si>
    <t>P1023</t>
  </si>
  <si>
    <t>P1024</t>
  </si>
  <si>
    <t>P1025</t>
  </si>
  <si>
    <t>P1026</t>
  </si>
  <si>
    <t>P1027</t>
  </si>
  <si>
    <t>P1028</t>
  </si>
  <si>
    <t>Dr. Brown</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</si>
  <si>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</si>
  <si>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</si>
  <si>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</si>
  <si>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</si>
  <si>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</si>
  <si>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</si>
  <si>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</si>
  <si>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</si>
  <si>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</si>
  <si>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</si>
  <si>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</si>
  <si>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</si>
  <si>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</si>
  <si>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</si>
  <si>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</si>
  <si>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</si>
  <si>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</si>
  <si>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</si>
  <si>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</si>
  <si>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</si>
  <si>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</si>
  <si>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</si>
  <si>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</si>
  <si>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</si>
  <si>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</si>
  <si>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</si>
  <si>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</si>
  <si>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</si>
  <si>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</si>
  <si>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</si>
  <si>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</si>
  <si>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</si>
  <si>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</si>
  <si>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</si>
  <si>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</si>
  <si>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</si>
  <si>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</si>
  <si>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</si>
  <si>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</si>
  <si>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</si>
  <si>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</si>
  <si>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</si>
  <si>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</si>
  <si>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</si>
  <si>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</si>
  <si>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</si>
  <si>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</si>
  <si>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</si>
  <si>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</si>
  <si>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</si>
  <si>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</si>
  <si>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</si>
  <si>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</si>
  <si>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</si>
  <si>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</si>
  <si>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</si>
  <si>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</si>
  <si>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</si>
  <si>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</si>
  <si>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</si>
  <si>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</si>
  <si>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</si>
  <si>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</si>
  <si>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</si>
  <si>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</si>
  <si>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</si>
  <si>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</si>
  <si>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</si>
  <si>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</si>
  <si>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</si>
  <si>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</si>
  <si>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</si>
  <si>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</si>
  <si>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</si>
  <si>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</si>
  <si>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</si>
  <si>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</si>
  <si>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</si>
  <si>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</si>
  <si>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</si>
  <si>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</si>
  <si>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</si>
  <si>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</si>
  <si>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</si>
  <si>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</si>
  <si>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</si>
  <si>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</si>
  <si>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</si>
  <si>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</si>
  <si>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</si>
  <si>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</si>
  <si>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</si>
  <si>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</si>
  <si>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</si>
  <si>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</si>
  <si>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</si>
  <si>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</si>
  <si>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</si>
  <si>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</si>
  <si>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</si>
  <si>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</si>
  <si>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</si>
  <si>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</si>
  <si>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</si>
  <si>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</si>
  <si>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</si>
  <si>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</si>
  <si>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</si>
  <si>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</si>
  <si>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</si>
  <si>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</si>
  <si>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</si>
  <si>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</si>
  <si>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</si>
  <si>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</si>
  <si>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</si>
  <si>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</si>
  <si>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</si>
  <si>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</si>
  <si>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</si>
  <si>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</si>
  <si>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</si>
  <si>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</si>
  <si>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</si>
  <si>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</si>
  <si>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</si>
  <si>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</si>
  <si>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</si>
  <si>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</si>
  <si>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</si>
  <si>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</si>
  <si>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</si>
  <si>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</si>
  <si>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</si>
  <si>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</si>
  <si>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</si>
  <si>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</si>
  <si>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</si>
  <si>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</si>
  <si>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</si>
  <si>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</si>
  <si>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</si>
  <si>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</si>
  <si>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</si>
  <si>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</si>
  <si>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</si>
  <si>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</si>
  <si>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</si>
  <si>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</si>
  <si>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</si>
  <si>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</si>
  <si>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</si>
  <si>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</si>
  <si>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</si>
  <si>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</si>
  <si>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</si>
  <si>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</si>
  <si>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</si>
  <si>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</si>
  <si>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</si>
  <si>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</si>
  <si>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</si>
  <si>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</si>
  <si>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</si>
  <si>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</si>
  <si>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</si>
  <si>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</si>
  <si>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</si>
  <si>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</si>
  <si>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</si>
  <si>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</si>
  <si>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</si>
  <si>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</si>
  <si>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</si>
  <si>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</si>
  <si>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</si>
  <si>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</si>
  <si>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</si>
  <si>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</si>
  <si>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</si>
  <si>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</si>
  <si>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</si>
  <si>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</si>
  <si>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</si>
  <si>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</si>
  <si>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</si>
  <si>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</si>
  <si>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</si>
  <si>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</si>
  <si>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</si>
  <si>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</si>
  <si>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</si>
  <si>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</si>
  <si>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</si>
  <si>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</si>
  <si>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</si>
  <si>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</si>
  <si>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</si>
  <si>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</si>
  <si>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</si>
  <si>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</si>
  <si>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</si>
  <si>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</si>
  <si>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</si>
  <si>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</si>
  <si>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</si>
  <si>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</si>
  <si>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</si>
  <si>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</si>
  <si>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</si>
  <si>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</si>
  <si>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</si>
  <si>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</si>
  <si>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</si>
  <si>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</si>
  <si>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</si>
  <si>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</si>
  <si>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</si>
  <si>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</si>
  <si>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</si>
  <si>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</si>
  <si>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</si>
  <si>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</si>
  <si>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</si>
  <si>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</si>
  <si>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</si>
  <si>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</si>
  <si>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</si>
  <si>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</si>
  <si>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</si>
  <si>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</si>
  <si>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</si>
  <si>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</si>
  <si>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</si>
  <si>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</si>
  <si>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</si>
  <si>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</si>
  <si>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</si>
  <si>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</si>
  <si>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</si>
  <si>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</si>
  <si>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</si>
  <si>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</si>
  <si>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</si>
  <si>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</si>
  <si>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</si>
  <si>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</si>
  <si>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</si>
  <si>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</si>
  <si>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</si>
  <si>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</si>
  <si>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</si>
  <si>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</si>
  <si>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</si>
  <si>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</si>
  <si>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</si>
  <si>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</si>
  <si>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</si>
  <si>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</si>
  <si>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</si>
  <si>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</si>
  <si>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</si>
  <si>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</si>
  <si>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</si>
  <si>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</si>
  <si>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</si>
  <si>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</si>
  <si>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</si>
  <si>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</si>
  <si>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</si>
  <si>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</si>
  <si>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</si>
  <si>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</si>
  <si>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</si>
  <si>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</si>
  <si>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</si>
  <si>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</si>
  <si>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</si>
  <si>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</si>
  <si>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</si>
  <si>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</si>
  <si>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</si>
  <si>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</si>
  <si>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</si>
  <si>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</si>
  <si>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</si>
  <si>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</si>
  <si>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</si>
  <si>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</si>
  <si>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</si>
  <si>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</si>
  <si>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</si>
  <si>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</si>
  <si>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</si>
  <si>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</si>
  <si>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</si>
  <si>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</si>
  <si>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</si>
  <si>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</si>
  <si>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</si>
  <si>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</si>
  <si>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</si>
  <si>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</si>
  <si>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</si>
  <si>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</si>
  <si>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</si>
  <si>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</si>
  <si>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</si>
  <si>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</si>
  <si>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</si>
  <si>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</si>
  <si>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</si>
  <si>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</si>
  <si>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</si>
  <si>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</si>
  <si>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</si>
  <si>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</si>
  <si>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</si>
  <si>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</si>
  <si>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</si>
  <si>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</si>
  <si>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</si>
  <si>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</si>
  <si>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</si>
  <si>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</si>
  <si>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</si>
  <si>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</si>
  <si>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</si>
  <si>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</si>
  <si>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</si>
  <si>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</si>
  <si>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</si>
  <si>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</si>
  <si>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</si>
  <si>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</si>
  <si>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</si>
  <si>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</si>
  <si>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</si>
  <si>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</si>
  <si>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</si>
  <si>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</si>
  <si>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</si>
  <si>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</si>
  <si>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</si>
  <si>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</si>
  <si>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</si>
  <si>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</si>
  <si>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</si>
  <si>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</si>
  <si>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</si>
  <si>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</si>
  <si>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</si>
  <si>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</si>
  <si>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</si>
  <si>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</si>
  <si>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</si>
  <si>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</si>
  <si>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</si>
  <si>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</si>
  <si>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</si>
  <si>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</si>
  <si>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</si>
  <si>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</si>
  <si>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</si>
  <si>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</si>
  <si>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</si>
  <si>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</si>
  <si>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</si>
  <si>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</si>
  <si>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</si>
  <si>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</si>
  <si>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</si>
  <si>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Doctor Performance</t>
  </si>
  <si>
    <t>Adult (36-59)</t>
  </si>
  <si>
    <t>Senior (60+)</t>
  </si>
  <si>
    <t>Teen (13-19)</t>
  </si>
  <si>
    <t>Young Adult (20-35)</t>
  </si>
  <si>
    <t>All</t>
  </si>
  <si>
    <t>Green Valley Medical Center - Insight Report</t>
  </si>
  <si>
    <t>Executive Summary</t>
  </si>
  <si>
    <t>The analysis covers 400 patient records from Green Valley Medical Center. Average recovery score is 75.34/100, average treatment cost is £5,052, and average hospital stay is 5.35 days. The dashboard uses calculated fields for age group, cost category, stay category and recovery status.</t>
  </si>
  <si>
    <t>Patient Recovery</t>
  </si>
  <si>
    <t>Dermatology (76.61) and General Medicine (76.57) have the highest average recovery scores. Cardiology has the lowest average recovery score at 72.92, despite having one of the higher average treatment costs (£5,255). This indicates an opportunity to review patient pathways, case complexity, and post-treatment follow-up in Cardiology.</t>
  </si>
  <si>
    <t>Treatment Effectiveness and Cost</t>
  </si>
  <si>
    <t>Surgery records the highest average recovery score (76.84), but it is also the highest-cost and longest-stay treatment type, with an average cost of £12,619 and average stay of 10.07 days. Observation has the lowest cost (£1,080) and shortest stay (2.09 days), but the lowest recovery score (72.86).</t>
  </si>
  <si>
    <t>Demographic Patterns</t>
  </si>
  <si>
    <t>Young Adults (20-35) show the highest average recovery score (76.20), while Teen patients (13-19) show the lowest average recovery score (73.93). Gender differences are small between Male and Female patients, while the 'Other' category has only 5 records, so it should not be over-interpreted.</t>
  </si>
  <si>
    <t>Dr. Johnson has the highest average recovery score (78.51) and the strongest excellent recovery rate among doctors. Dr. Smith has the lowest average recovery score (69.78), so the hospital should investigate whether this is caused by case mix, treatment allocation, documentation quality, or follow-up processes.</t>
  </si>
  <si>
    <t>Recommendations</t>
  </si>
  <si>
    <t>1. Prioritize a Cardiology improvement review focused on diagnosis-to-treatment workflow, treatment mix, and discharge follow-up.
2. Compare Surgery outcomes against costs to identify where high recovery justifies high resource use and where cost savings are possible.
3. Review Observation protocols because this treatment type is cost-effective but has weaker recovery results.
4. Share best practices from Dermatology, General Medicine, and high-performing doctors across departments.
5. Track recovery, cost, and stay length monthly to support ongoing operational improvement.</t>
  </si>
  <si>
    <t>Grand Total</t>
  </si>
  <si>
    <t>Average of Recovery Score</t>
  </si>
  <si>
    <t>Doctors Name</t>
  </si>
  <si>
    <t xml:space="preserve">Gender </t>
  </si>
  <si>
    <t>Number of Patients</t>
  </si>
  <si>
    <t>Average of Treatment Cost</t>
  </si>
  <si>
    <t>Average of Hospital Stay (Days)</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</si>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</sst>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font>
      <sz val="11"/>
      <name val="Carlito"/>
    </font>
    <font>
      <b/>
      <sz val="11"/>
      <color rgb="FFFFFFFF"/>
      <name val="Carlito"/>
    </font>
    <font>
      <b/>
      <sz val="16"/>
      <color rgb="FFFFFFFF"/>
      <name val="Carlito"/>
    </font>
  </fonts>
  <fills count="5">
    <fill>
      <patternFill patternType="none"/>
    </fill>
    <fill>
      <patternFill patternType="gray125"/>
    </fill>
    <fill>
      <patternFill patternType="solid">
        <fgColor rgb="FFC45A12"/>
      </patternFill>
    </fill>
    <fill>
      <patternFill patternType="solid">
        <fgColor rgb="FF1F2937"/>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1" fontId="0" fillId="0" borderId="0" xfId="0" applyNumberFormat="1"/>
    <xf numFmtId="164" fontId="0" fillId="0" borderId="0" xfId="0" applyNumberFormat="1"/>
    <xf numFmtId="0" fontId="1" fillId="3" borderId="0" xfId="0" applyFont="1" applyFill="1"/>
    <xf numFmtId="0" fontId="0" fillId="0" borderId="0" xfId="0" applyAlignment="1">
      <alignment wrapText="1"/>
    </xf>
    <xf numFmtId="0" fontId="0" fillId="0" borderId="0" xfId="0" pivotButton="1"/>
    <xf numFmtId="0" fontId="0" fillId="4" borderId="0" xfId="0" applyFill="1"/>
    <xf numFmtId="0" fontId="0" fillId="0" borderId="0" xfId="0" applyAlignment="1">
      <alignment horizontal="left"/>
    </xf>
    <xf numFmtId="0" fontId="2" fillId="3" borderId="0" xfId="0" applyFont="1" applyFill="1" applyAlignment="1">
      <alignment horizontal="center" wrapText="1"/>
    </xf>
    <xf numFmtId="0" fontId="0" fillId="0" borderId="0" xfId="0" applyAlignment="1">
      <alignment wrapText="1"/>
    </xf>
    <xf numFmtId="0" fontId="1" fillId="2" borderId="0" xfId="0" applyFont="1" applyFill="1" applyAlignment="1">
      <alignment horizontal="lef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[Tsits Maxine Ndudzo Sibiya Capstone Assignment.xlsx]Pivot Tables!PivotTable6</c:name>
    <c:fmtId val="1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Average</a:t>
            </a:r>
            <a:r>
              <a:rPr lang="en-US" sz="2000" b="1" baseline="0"/>
              <a:t> Recovery By Department</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Tables'!$A$2:$A$3</c:f>
              <c:strCache>
                <c:ptCount val="1"/>
                <c:pt idx="0">
                  <c:v>Cardiology</c:v>
                </c:pt>
              </c:strCache>
            </c:strRef>
          </c:cat>
          <c:val>
            <c:numRef>
              <c:f>'Pivot Tables'!$B$2:$B$3</c:f>
              <c:numCache>
                <c:formatCode>0</c:formatCode>
                <c:ptCount val="1"/>
                <c:pt idx="0">
                  <c:v>77.928571428571431</c:v>
                </c:pt>
              </c:numCache>
            </c:numRef>
          </c:val>
          <c:extLst>
            <c:ext xmlns:c16="http://schemas.microsoft.com/office/drawing/2014/chart" uri="{C3380CC4-5D6E-409C-BE32-E72D297353CC}">
              <c16:uniqueId val="{00000000-0CDC-4A7D-A3D6-EA2E4A1D98BB}"/>
            </c:ext>
          </c:extLst>
        </c:ser>
        <c:dLbls>
          <c:showLegendKey val="0"/>
          <c:showVal val="0"/>
          <c:showCatName val="0"/>
          <c:showSerName val="0"/>
          <c:showPercent val="0"/>
          <c:showBubbleSize val="0"/>
        </c:dLbls>
        <c:gapWidth val="219"/>
        <c:overlap val="-27"/>
        <c:axId val="1980081071"/>
        <c:axId val="1980084431"/>
      </c:barChart>
      <c:catAx>
        <c:axId val="198008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084431"/>
        <c:crosses val="autoZero"/>
        <c:auto val="1"/>
        <c:lblAlgn val="ctr"/>
        <c:lblOffset val="100"/>
        <c:noMultiLvlLbl val="0"/>
      </c:catAx>
      <c:valAx>
        <c:axId val="1980084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08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[Tsits Maxine Ndudzo Sibiya Capstone Assignment.xlsx]Pivot Tables!PivotTable8</c:name>
    <c:fmtId val="6"/>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Total of Patients by Gender</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c:f>
              <c:strCache>
                <c:ptCount val="1"/>
                <c:pt idx="0">
                  <c:v>Total</c:v>
                </c:pt>
              </c:strCache>
            </c:strRef>
          </c:tx>
          <c:spPr>
            <a:solidFill>
              <a:schemeClr val="accent1"/>
            </a:solidFill>
            <a:ln>
              <a:noFill/>
            </a:ln>
            <a:effectLst/>
          </c:spPr>
          <c:invertIfNegative val="0"/>
          <c:cat>
            <c:strRef>
              <c:f>'Pivot Tables'!$E$2:$E$4</c:f>
              <c:strCache>
                <c:ptCount val="2"/>
                <c:pt idx="0">
                  <c:v>Female</c:v>
                </c:pt>
                <c:pt idx="1">
                  <c:v>Male</c:v>
                </c:pt>
              </c:strCache>
            </c:strRef>
          </c:cat>
          <c:val>
            <c:numRef>
              <c:f>'Pivot Tables'!$F$2:$F$4</c:f>
              <c:numCache>
                <c:formatCode>General</c:formatCode>
                <c:ptCount val="2"/>
                <c:pt idx="0">
                  <c:v>7</c:v>
                </c:pt>
                <c:pt idx="1">
                  <c:v>7</c:v>
                </c:pt>
              </c:numCache>
            </c:numRef>
          </c:val>
          <c:extLst>
            <c:ext xmlns:c16="http://schemas.microsoft.com/office/drawing/2014/chart" uri="{C3380CC4-5D6E-409C-BE32-E72D297353CC}">
              <c16:uniqueId val="{00000000-70A1-44F9-8EE8-99F0864790B4}"/>
            </c:ext>
          </c:extLst>
        </c:ser>
        <c:dLbls>
          <c:showLegendKey val="0"/>
          <c:showVal val="0"/>
          <c:showCatName val="0"/>
          <c:showSerName val="0"/>
          <c:showPercent val="0"/>
          <c:showBubbleSize val="0"/>
        </c:dLbls>
        <c:gapWidth val="219"/>
        <c:overlap val="-27"/>
        <c:axId val="1975690463"/>
        <c:axId val="1975691423"/>
      </c:barChart>
      <c:catAx>
        <c:axId val="197569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91423"/>
        <c:crosses val="autoZero"/>
        <c:auto val="1"/>
        <c:lblAlgn val="ctr"/>
        <c:lblOffset val="100"/>
        <c:noMultiLvlLbl val="0"/>
      </c:catAx>
      <c:valAx>
        <c:axId val="197569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9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[Tsits Maxine Ndudzo Sibiya Capstone Assignment.xlsx]Pivot Tables!PivotTable9</c:name>
    <c:fmtId val="20"/>
  </c:pivotSource>
  <c:chart>
    <c:title>
      <c:tx>
        <c:rich>
          <a:bodyPr rot="0" spcFirstLastPara="1" vertOverflow="ellipsis" vert="horz" wrap="square" anchor="ctr" anchorCtr="1"/>
          <a:lstStyle/>
          <a:p>
            <a:pPr algn="l">
              <a:defRPr sz="2000" b="0" i="0" u="none" strike="noStrike" kern="1200" spc="0" baseline="0">
                <a:solidFill>
                  <a:schemeClr val="tx1">
                    <a:lumMod val="65000"/>
                    <a:lumOff val="35000"/>
                  </a:schemeClr>
                </a:solidFill>
                <a:latin typeface="+mn-lt"/>
                <a:ea typeface="+mn-ea"/>
                <a:cs typeface="+mn-cs"/>
              </a:defRPr>
            </a:pPr>
            <a:r>
              <a:rPr lang="en-US" sz="2000" b="1" u="none"/>
              <a:t>Treatment</a:t>
            </a:r>
            <a:r>
              <a:rPr lang="en-US" sz="2000" b="1" u="none" baseline="0"/>
              <a:t> Type </a:t>
            </a:r>
            <a:r>
              <a:rPr lang="en-US" sz="2000" b="1" u="none"/>
              <a:t>Perfomance </a:t>
            </a:r>
            <a:r>
              <a:rPr lang="en-US" sz="2000" b="1" u="none" baseline="0"/>
              <a:t> by Average Recovery</a:t>
            </a:r>
            <a:endParaRPr lang="en-US" sz="2000" b="1" u="none"/>
          </a:p>
        </c:rich>
      </c:tx>
      <c:layout>
        <c:manualLayout>
          <c:xMode val="edge"/>
          <c:yMode val="edge"/>
          <c:x val="0.19100934139829359"/>
          <c:y val="0"/>
        </c:manualLayout>
      </c:layout>
      <c:overlay val="0"/>
      <c:spPr>
        <a:noFill/>
        <a:ln>
          <a:noFill/>
        </a:ln>
        <a:effectLst/>
      </c:spPr>
      <c:txPr>
        <a:bodyPr rot="0" spcFirstLastPara="1" vertOverflow="ellipsis" vert="horz" wrap="square" anchor="ctr" anchorCtr="1"/>
        <a:lstStyle/>
        <a:p>
          <a:pPr algn="l">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Tables'!$F$8</c:f>
              <c:strCache>
                <c:ptCount val="1"/>
                <c:pt idx="0">
                  <c:v>Total</c:v>
                </c:pt>
              </c:strCache>
            </c:strRef>
          </c:tx>
          <c:spPr>
            <a:solidFill>
              <a:schemeClr val="accent1"/>
            </a:solidFill>
            <a:ln>
              <a:noFill/>
            </a:ln>
            <a:effectLst/>
          </c:spPr>
          <c:invertIfNegative val="0"/>
          <c:cat>
            <c:strRef>
              <c:f>'Pivot Tables'!$E$9:$E$10</c:f>
              <c:strCache>
                <c:ptCount val="1"/>
                <c:pt idx="0">
                  <c:v>Medication</c:v>
                </c:pt>
              </c:strCache>
            </c:strRef>
          </c:cat>
          <c:val>
            <c:numRef>
              <c:f>'Pivot Tables'!$F$9:$F$10</c:f>
              <c:numCache>
                <c:formatCode>0</c:formatCode>
                <c:ptCount val="1"/>
                <c:pt idx="0">
                  <c:v>77.928571428571431</c:v>
                </c:pt>
              </c:numCache>
            </c:numRef>
          </c:val>
          <c:extLst>
            <c:ext xmlns:c16="http://schemas.microsoft.com/office/drawing/2014/chart" uri="{C3380CC4-5D6E-409C-BE32-E72D297353CC}">
              <c16:uniqueId val="{00000000-723A-418E-8039-FE75883F73F8}"/>
            </c:ext>
          </c:extLst>
        </c:ser>
        <c:dLbls>
          <c:showLegendKey val="0"/>
          <c:showVal val="0"/>
          <c:showCatName val="0"/>
          <c:showSerName val="0"/>
          <c:showPercent val="0"/>
          <c:showBubbleSize val="0"/>
        </c:dLbls>
        <c:gapWidth val="219"/>
        <c:axId val="1635527759"/>
        <c:axId val="1635523919"/>
      </c:barChart>
      <c:catAx>
        <c:axId val="163552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23919"/>
        <c:crosses val="autoZero"/>
        <c:auto val="1"/>
        <c:lblAlgn val="ctr"/>
        <c:lblOffset val="100"/>
        <c:noMultiLvlLbl val="0"/>
      </c:catAx>
      <c:valAx>
        <c:axId val="1635523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2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[Tsits Maxine Ndudzo Sibiya Capstone Assignment.xlsx]Pivot Tables!PivotTable12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Average</a:t>
            </a:r>
            <a:r>
              <a:rPr lang="en-US" sz="2000" b="1" baseline="0"/>
              <a:t> Stay by Gender</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Tables'!$F$23</c:f>
              <c:strCache>
                <c:ptCount val="1"/>
                <c:pt idx="0">
                  <c:v>Total</c:v>
                </c:pt>
              </c:strCache>
            </c:strRef>
          </c:tx>
          <c:spPr>
            <a:solidFill>
              <a:schemeClr val="accent1"/>
            </a:solidFill>
            <a:ln>
              <a:noFill/>
            </a:ln>
            <a:effectLst/>
          </c:spPr>
          <c:invertIfNegative val="0"/>
          <c:cat>
            <c:strRef>
              <c:f>'Pivot Tables'!$E$24:$E$26</c:f>
              <c:strCache>
                <c:ptCount val="2"/>
                <c:pt idx="0">
                  <c:v>Female</c:v>
                </c:pt>
                <c:pt idx="1">
                  <c:v>Male</c:v>
                </c:pt>
              </c:strCache>
            </c:strRef>
          </c:cat>
          <c:val>
            <c:numRef>
              <c:f>'Pivot Tables'!$F$24:$F$26</c:f>
              <c:numCache>
                <c:formatCode>0</c:formatCode>
                <c:ptCount val="2"/>
                <c:pt idx="0">
                  <c:v>3</c:v>
                </c:pt>
                <c:pt idx="1">
                  <c:v>3.8571428571428572</c:v>
                </c:pt>
              </c:numCache>
            </c:numRef>
          </c:val>
          <c:extLst>
            <c:ext xmlns:c16="http://schemas.microsoft.com/office/drawing/2014/chart" uri="{C3380CC4-5D6E-409C-BE32-E72D297353CC}">
              <c16:uniqueId val="{00000000-59B1-4AA8-B0F3-C48F016BABAA}"/>
            </c:ext>
          </c:extLst>
        </c:ser>
        <c:dLbls>
          <c:showLegendKey val="0"/>
          <c:showVal val="0"/>
          <c:showCatName val="0"/>
          <c:showSerName val="0"/>
          <c:showPercent val="0"/>
          <c:showBubbleSize val="0"/>
        </c:dLbls>
        <c:gapWidth val="150"/>
        <c:overlap val="100"/>
        <c:axId val="1670206591"/>
        <c:axId val="1670202751"/>
      </c:barChart>
      <c:catAx>
        <c:axId val="1670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02751"/>
        <c:crosses val="autoZero"/>
        <c:auto val="1"/>
        <c:lblAlgn val="ctr"/>
        <c:lblOffset val="100"/>
        <c:noMultiLvlLbl val="0"/>
      </c:catAx>
      <c:valAx>
        <c:axId val="1670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0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[Tsits Maxine Ndudzo Sibiya Capstone Assignment.xlsx]Pivot Tables!PivotTable11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Average</a:t>
            </a:r>
            <a:r>
              <a:rPr lang="en-US" sz="2000" b="1" baseline="0"/>
              <a:t> Treatment Cost by Department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c:f>
              <c:strCache>
                <c:ptCount val="1"/>
                <c:pt idx="0">
                  <c:v>Total</c:v>
                </c:pt>
              </c:strCache>
            </c:strRef>
          </c:tx>
          <c:spPr>
            <a:solidFill>
              <a:schemeClr val="accent1"/>
            </a:solidFill>
            <a:ln>
              <a:noFill/>
            </a:ln>
            <a:effectLst/>
          </c:spPr>
          <c:invertIfNegative val="0"/>
          <c:cat>
            <c:strRef>
              <c:f>'Pivot Tables'!$A$25:$A$26</c:f>
              <c:strCache>
                <c:ptCount val="1"/>
                <c:pt idx="0">
                  <c:v>Cardiology</c:v>
                </c:pt>
              </c:strCache>
            </c:strRef>
          </c:cat>
          <c:val>
            <c:numRef>
              <c:f>'Pivot Tables'!$B$25:$B$26</c:f>
              <c:numCache>
                <c:formatCode>\£#,##0</c:formatCode>
                <c:ptCount val="1"/>
                <c:pt idx="0">
                  <c:v>2739.5</c:v>
                </c:pt>
              </c:numCache>
            </c:numRef>
          </c:val>
          <c:extLst>
            <c:ext xmlns:c16="http://schemas.microsoft.com/office/drawing/2014/chart" uri="{C3380CC4-5D6E-409C-BE32-E72D297353CC}">
              <c16:uniqueId val="{00000000-9F43-4379-BD06-B6F87E253F17}"/>
            </c:ext>
          </c:extLst>
        </c:ser>
        <c:dLbls>
          <c:showLegendKey val="0"/>
          <c:showVal val="0"/>
          <c:showCatName val="0"/>
          <c:showSerName val="0"/>
          <c:showPercent val="0"/>
          <c:showBubbleSize val="0"/>
        </c:dLbls>
        <c:gapWidth val="219"/>
        <c:overlap val="-27"/>
        <c:axId val="1832853231"/>
        <c:axId val="1832858031"/>
      </c:barChart>
      <c:catAx>
        <c:axId val="18328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858031"/>
        <c:crosses val="autoZero"/>
        <c:auto val="1"/>
        <c:lblAlgn val="ctr"/>
        <c:lblOffset val="100"/>
        <c:noMultiLvlLbl val="0"/>
      </c:catAx>
      <c:valAx>
        <c:axId val="1832858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85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[Tsits Maxine Ndudzo Sibiya Capstone Assignment.xlsx]Pivot Tables!PivotTable15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Average</a:t>
            </a:r>
            <a:r>
              <a:rPr lang="en-US" sz="2000" b="1" baseline="0"/>
              <a:t> Age by Gender</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Tables'!$F$39</c:f>
              <c:strCache>
                <c:ptCount val="1"/>
                <c:pt idx="0">
                  <c:v>Total</c:v>
                </c:pt>
              </c:strCache>
            </c:strRef>
          </c:tx>
          <c:spPr>
            <a:solidFill>
              <a:schemeClr val="accent1"/>
            </a:solidFill>
            <a:ln>
              <a:noFill/>
            </a:ln>
            <a:effectLst/>
          </c:spPr>
          <c:invertIfNegative val="0"/>
          <c:cat>
            <c:strRef>
              <c:f>'Pivot Tables'!$E$40:$E$42</c:f>
              <c:strCache>
                <c:ptCount val="2"/>
                <c:pt idx="0">
                  <c:v>Female</c:v>
                </c:pt>
                <c:pt idx="1">
                  <c:v>Male</c:v>
                </c:pt>
              </c:strCache>
            </c:strRef>
          </c:cat>
          <c:val>
            <c:numRef>
              <c:f>'Pivot Tables'!$F$40:$F$42</c:f>
              <c:numCache>
                <c:formatCode>0</c:formatCode>
                <c:ptCount val="2"/>
                <c:pt idx="0">
                  <c:v>52.857142857142854</c:v>
                </c:pt>
                <c:pt idx="1">
                  <c:v>60.428571428571431</c:v>
                </c:pt>
              </c:numCache>
            </c:numRef>
          </c:val>
          <c:extLst>
            <c:ext xmlns:c16="http://schemas.microsoft.com/office/drawing/2014/chart" uri="{C3380CC4-5D6E-409C-BE32-E72D297353CC}">
              <c16:uniqueId val="{00000000-D54C-43A5-BC5D-5B439EF3A400}"/>
            </c:ext>
          </c:extLst>
        </c:ser>
        <c:dLbls>
          <c:showLegendKey val="0"/>
          <c:showVal val="0"/>
          <c:showCatName val="0"/>
          <c:showSerName val="0"/>
          <c:showPercent val="0"/>
          <c:showBubbleSize val="0"/>
        </c:dLbls>
        <c:gapWidth val="219"/>
        <c:overlap val="-27"/>
        <c:axId val="1598729695"/>
        <c:axId val="1598722975"/>
      </c:barChart>
      <c:catAx>
        <c:axId val="159872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722975"/>
        <c:crosses val="autoZero"/>
        <c:auto val="1"/>
        <c:lblAlgn val="ctr"/>
        <c:lblOffset val="100"/>
        <c:noMultiLvlLbl val="0"/>
      </c:catAx>
      <c:valAx>
        <c:axId val="1598722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72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29308</xdr:rowOff>
    </xdr:from>
    <xdr:to>
      <xdr:col>26</xdr:col>
      <xdr:colOff>58614</xdr:colOff>
      <xdr:row>2</xdr:row>
      <xdr:rowOff>0</xdr:rowOff>
    </xdr:to>
    <xdr:sp macro="" textlink="">
      <xdr:nvSpPr>
        <xdr:cNvPr id="2" name="Rectangle 1">
          <a:extLst>
            <a:ext uri="{FF2B5EF4-FFF2-40B4-BE49-F238E27FC236}">
              <a16:creationId xmlns:a16="http://schemas.microsoft.com/office/drawing/2014/main" id="{023BAB33-D162-A8E3-8990-60FEBDDAB096}"/>
            </a:ext>
          </a:extLst>
        </xdr:cNvPr>
        <xdr:cNvSpPr/>
      </xdr:nvSpPr>
      <xdr:spPr>
        <a:xfrm>
          <a:off x="0" y="29308"/>
          <a:ext cx="17330614" cy="322384"/>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595924</xdr:colOff>
      <xdr:row>0</xdr:row>
      <xdr:rowOff>0</xdr:rowOff>
    </xdr:from>
    <xdr:ext cx="5597769" cy="374141"/>
    <xdr:sp macro="" textlink="">
      <xdr:nvSpPr>
        <xdr:cNvPr id="3" name="TextBox 2">
          <a:extLst>
            <a:ext uri="{FF2B5EF4-FFF2-40B4-BE49-F238E27FC236}">
              <a16:creationId xmlns:a16="http://schemas.microsoft.com/office/drawing/2014/main" id="{045FEB98-52A6-944A-3799-FB30D52CC363}"/>
            </a:ext>
          </a:extLst>
        </xdr:cNvPr>
        <xdr:cNvSpPr txBox="1"/>
      </xdr:nvSpPr>
      <xdr:spPr>
        <a:xfrm>
          <a:off x="6574693" y="0"/>
          <a:ext cx="55977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bg1"/>
              </a:solidFill>
            </a:rPr>
            <a:t>Green</a:t>
          </a:r>
          <a:r>
            <a:rPr lang="en-US" sz="1800" b="1" baseline="0">
              <a:solidFill>
                <a:schemeClr val="bg1"/>
              </a:solidFill>
            </a:rPr>
            <a:t> Valley Medical Center Dashboard</a:t>
          </a:r>
          <a:endParaRPr lang="en-US" sz="1800" b="1">
            <a:solidFill>
              <a:schemeClr val="bg1"/>
            </a:solidFill>
          </a:endParaRPr>
        </a:p>
      </xdr:txBody>
    </xdr:sp>
    <xdr:clientData/>
  </xdr:oneCellAnchor>
  <xdr:twoCellAnchor>
    <xdr:from>
      <xdr:col>0</xdr:col>
      <xdr:colOff>166076</xdr:colOff>
      <xdr:row>2</xdr:row>
      <xdr:rowOff>97693</xdr:rowOff>
    </xdr:from>
    <xdr:to>
      <xdr:col>3</xdr:col>
      <xdr:colOff>498230</xdr:colOff>
      <xdr:row>10</xdr:row>
      <xdr:rowOff>74246</xdr:rowOff>
    </xdr:to>
    <xdr:sp macro="" textlink="">
      <xdr:nvSpPr>
        <xdr:cNvPr id="4" name="Rectangle 3">
          <a:extLst>
            <a:ext uri="{FF2B5EF4-FFF2-40B4-BE49-F238E27FC236}">
              <a16:creationId xmlns:a16="http://schemas.microsoft.com/office/drawing/2014/main" id="{C9761EC4-1AAD-9E4E-D8AB-ED2A27D0BDC2}"/>
            </a:ext>
          </a:extLst>
        </xdr:cNvPr>
        <xdr:cNvSpPr/>
      </xdr:nvSpPr>
      <xdr:spPr>
        <a:xfrm>
          <a:off x="166076" y="449385"/>
          <a:ext cx="2325077" cy="1383323"/>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Patients</a:t>
          </a:r>
        </a:p>
        <a:p>
          <a:pPr algn="l"/>
          <a:endParaRPr lang="en-US" sz="2400" b="1"/>
        </a:p>
        <a:p>
          <a:pPr algn="ctr"/>
          <a:r>
            <a:rPr lang="en-US" sz="2000" b="1"/>
            <a:t>400</a:t>
          </a:r>
        </a:p>
      </xdr:txBody>
    </xdr:sp>
    <xdr:clientData/>
  </xdr:twoCellAnchor>
  <xdr:twoCellAnchor>
    <xdr:from>
      <xdr:col>6</xdr:col>
      <xdr:colOff>254000</xdr:colOff>
      <xdr:row>2</xdr:row>
      <xdr:rowOff>117232</xdr:rowOff>
    </xdr:from>
    <xdr:to>
      <xdr:col>9</xdr:col>
      <xdr:colOff>586154</xdr:colOff>
      <xdr:row>10</xdr:row>
      <xdr:rowOff>93785</xdr:rowOff>
    </xdr:to>
    <xdr:sp macro="" textlink="">
      <xdr:nvSpPr>
        <xdr:cNvPr id="5" name="Rectangle 4">
          <a:extLst>
            <a:ext uri="{FF2B5EF4-FFF2-40B4-BE49-F238E27FC236}">
              <a16:creationId xmlns:a16="http://schemas.microsoft.com/office/drawing/2014/main" id="{F554BCB1-D1DE-AAE0-09D4-DBD5D780AC90}"/>
            </a:ext>
          </a:extLst>
        </xdr:cNvPr>
        <xdr:cNvSpPr/>
      </xdr:nvSpPr>
      <xdr:spPr>
        <a:xfrm>
          <a:off x="4239846" y="468924"/>
          <a:ext cx="2325077" cy="1383323"/>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Average</a:t>
          </a:r>
          <a:r>
            <a:rPr lang="en-US" sz="2000" b="1" baseline="0"/>
            <a:t> Recovery</a:t>
          </a:r>
        </a:p>
        <a:p>
          <a:pPr algn="l"/>
          <a:endParaRPr lang="en-US" sz="2000" b="1" baseline="0"/>
        </a:p>
        <a:p>
          <a:pPr algn="ctr"/>
          <a:r>
            <a:rPr lang="en-US" sz="2000" b="1" baseline="0"/>
            <a:t>75</a:t>
          </a:r>
          <a:endParaRPr lang="en-US" sz="2000" b="1"/>
        </a:p>
      </xdr:txBody>
    </xdr:sp>
    <xdr:clientData/>
  </xdr:twoCellAnchor>
  <xdr:twoCellAnchor>
    <xdr:from>
      <xdr:col>12</xdr:col>
      <xdr:colOff>5861</xdr:colOff>
      <xdr:row>2</xdr:row>
      <xdr:rowOff>103554</xdr:rowOff>
    </xdr:from>
    <xdr:to>
      <xdr:col>15</xdr:col>
      <xdr:colOff>338015</xdr:colOff>
      <xdr:row>10</xdr:row>
      <xdr:rowOff>80107</xdr:rowOff>
    </xdr:to>
    <xdr:sp macro="" textlink="">
      <xdr:nvSpPr>
        <xdr:cNvPr id="6" name="Rectangle 5">
          <a:extLst>
            <a:ext uri="{FF2B5EF4-FFF2-40B4-BE49-F238E27FC236}">
              <a16:creationId xmlns:a16="http://schemas.microsoft.com/office/drawing/2014/main" id="{00EB6CB3-A428-FF9D-EF2E-E17480DD1AFE}"/>
            </a:ext>
          </a:extLst>
        </xdr:cNvPr>
        <xdr:cNvSpPr/>
      </xdr:nvSpPr>
      <xdr:spPr>
        <a:xfrm>
          <a:off x="7977553" y="455246"/>
          <a:ext cx="2325077" cy="1383323"/>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Average Treatment Cost</a:t>
          </a:r>
        </a:p>
        <a:p>
          <a:pPr algn="l"/>
          <a:r>
            <a:rPr lang="en-US" sz="2000"/>
            <a:t>          </a:t>
          </a:r>
          <a:r>
            <a:rPr lang="en-US" sz="2000" b="1"/>
            <a:t>£5,052</a:t>
          </a:r>
        </a:p>
      </xdr:txBody>
    </xdr:sp>
    <xdr:clientData/>
  </xdr:twoCellAnchor>
  <xdr:twoCellAnchor>
    <xdr:from>
      <xdr:col>17</xdr:col>
      <xdr:colOff>324337</xdr:colOff>
      <xdr:row>2</xdr:row>
      <xdr:rowOff>99647</xdr:rowOff>
    </xdr:from>
    <xdr:to>
      <xdr:col>20</xdr:col>
      <xdr:colOff>656491</xdr:colOff>
      <xdr:row>10</xdr:row>
      <xdr:rowOff>76200</xdr:rowOff>
    </xdr:to>
    <xdr:sp macro="" textlink="">
      <xdr:nvSpPr>
        <xdr:cNvPr id="7" name="Rectangle 6">
          <a:extLst>
            <a:ext uri="{FF2B5EF4-FFF2-40B4-BE49-F238E27FC236}">
              <a16:creationId xmlns:a16="http://schemas.microsoft.com/office/drawing/2014/main" id="{0A900626-118F-05BC-3998-19FE1AB493DE}"/>
            </a:ext>
          </a:extLst>
        </xdr:cNvPr>
        <xdr:cNvSpPr/>
      </xdr:nvSpPr>
      <xdr:spPr>
        <a:xfrm>
          <a:off x="11617568" y="451339"/>
          <a:ext cx="2325077" cy="1383323"/>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Average</a:t>
          </a:r>
          <a:r>
            <a:rPr lang="en-US" sz="2000" b="1" baseline="0"/>
            <a:t> Stay</a:t>
          </a:r>
        </a:p>
        <a:p>
          <a:pPr algn="ctr"/>
          <a:endParaRPr lang="en-US" sz="2000" b="1" baseline="0"/>
        </a:p>
        <a:p>
          <a:pPr algn="ctr"/>
          <a:r>
            <a:rPr lang="en-US" sz="2000" b="1" baseline="0"/>
            <a:t>5</a:t>
          </a:r>
        </a:p>
      </xdr:txBody>
    </xdr:sp>
    <xdr:clientData/>
  </xdr:twoCellAnchor>
  <xdr:twoCellAnchor>
    <xdr:from>
      <xdr:col>22</xdr:col>
      <xdr:colOff>369276</xdr:colOff>
      <xdr:row>2</xdr:row>
      <xdr:rowOff>66432</xdr:rowOff>
    </xdr:from>
    <xdr:to>
      <xdr:col>26</xdr:col>
      <xdr:colOff>37122</xdr:colOff>
      <xdr:row>10</xdr:row>
      <xdr:rowOff>42985</xdr:rowOff>
    </xdr:to>
    <xdr:sp macro="" textlink="">
      <xdr:nvSpPr>
        <xdr:cNvPr id="8" name="Rectangle 7">
          <a:extLst>
            <a:ext uri="{FF2B5EF4-FFF2-40B4-BE49-F238E27FC236}">
              <a16:creationId xmlns:a16="http://schemas.microsoft.com/office/drawing/2014/main" id="{26045C77-31B9-919F-0439-ACD155F30FB4}"/>
            </a:ext>
          </a:extLst>
        </xdr:cNvPr>
        <xdr:cNvSpPr/>
      </xdr:nvSpPr>
      <xdr:spPr>
        <a:xfrm>
          <a:off x="14984045" y="418124"/>
          <a:ext cx="2325077" cy="1383323"/>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Average Age</a:t>
          </a:r>
        </a:p>
        <a:p>
          <a:pPr algn="ctr"/>
          <a:endParaRPr lang="en-US" sz="2000" b="1"/>
        </a:p>
        <a:p>
          <a:pPr algn="ctr"/>
          <a:r>
            <a:rPr lang="en-US" sz="2000" b="1"/>
            <a:t>45</a:t>
          </a:r>
        </a:p>
      </xdr:txBody>
    </xdr:sp>
    <xdr:clientData/>
  </xdr:twoCellAnchor>
  <xdr:twoCellAnchor>
    <xdr:from>
      <xdr:col>0</xdr:col>
      <xdr:colOff>78153</xdr:colOff>
      <xdr:row>12</xdr:row>
      <xdr:rowOff>29306</xdr:rowOff>
    </xdr:from>
    <xdr:to>
      <xdr:col>7</xdr:col>
      <xdr:colOff>390769</xdr:colOff>
      <xdr:row>29</xdr:row>
      <xdr:rowOff>136769</xdr:rowOff>
    </xdr:to>
    <xdr:graphicFrame macro="">
      <xdr:nvGraphicFramePr>
        <xdr:cNvPr id="12" name="Chart 11">
          <a:extLst>
            <a:ext uri="{FF2B5EF4-FFF2-40B4-BE49-F238E27FC236}">
              <a16:creationId xmlns:a16="http://schemas.microsoft.com/office/drawing/2014/main" id="{697E0376-1B4E-4A71-AC23-E9D70D06E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156307</xdr:colOff>
      <xdr:row>12</xdr:row>
      <xdr:rowOff>29307</xdr:rowOff>
    </xdr:from>
    <xdr:to>
      <xdr:col>16</xdr:col>
      <xdr:colOff>302845</xdr:colOff>
      <xdr:row>29</xdr:row>
      <xdr:rowOff>146539</xdr:rowOff>
    </xdr:to>
    <xdr:graphicFrame macro="">
      <xdr:nvGraphicFramePr>
        <xdr:cNvPr id="14" name="Chart 13">
          <a:extLst>
            <a:ext uri="{FF2B5EF4-FFF2-40B4-BE49-F238E27FC236}">
              <a16:creationId xmlns:a16="http://schemas.microsoft.com/office/drawing/2014/main" id="{B72B2091-8971-4C34-AFBD-83BFCFE72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68384</xdr:colOff>
      <xdr:row>30</xdr:row>
      <xdr:rowOff>146538</xdr:rowOff>
    </xdr:from>
    <xdr:to>
      <xdr:col>9</xdr:col>
      <xdr:colOff>332154</xdr:colOff>
      <xdr:row>53</xdr:row>
      <xdr:rowOff>127000</xdr:rowOff>
    </xdr:to>
    <xdr:graphicFrame macro="">
      <xdr:nvGraphicFramePr>
        <xdr:cNvPr id="18" name="Chart 17">
          <a:extLst>
            <a:ext uri="{FF2B5EF4-FFF2-40B4-BE49-F238E27FC236}">
              <a16:creationId xmlns:a16="http://schemas.microsoft.com/office/drawing/2014/main" id="{DFA7D6E7-92BA-418A-9544-BE56E10EE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31</xdr:row>
      <xdr:rowOff>-1</xdr:rowOff>
    </xdr:from>
    <xdr:to>
      <xdr:col>16</xdr:col>
      <xdr:colOff>586154</xdr:colOff>
      <xdr:row>53</xdr:row>
      <xdr:rowOff>107461</xdr:rowOff>
    </xdr:to>
    <xdr:graphicFrame macro="">
      <xdr:nvGraphicFramePr>
        <xdr:cNvPr id="20" name="Chart 19">
          <a:extLst>
            <a:ext uri="{FF2B5EF4-FFF2-40B4-BE49-F238E27FC236}">
              <a16:creationId xmlns:a16="http://schemas.microsoft.com/office/drawing/2014/main" id="{64AB532F-D15C-4611-AFCA-97ABD0962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244230</xdr:colOff>
      <xdr:row>31</xdr:row>
      <xdr:rowOff>29306</xdr:rowOff>
    </xdr:from>
    <xdr:to>
      <xdr:col>26</xdr:col>
      <xdr:colOff>9768</xdr:colOff>
      <xdr:row>53</xdr:row>
      <xdr:rowOff>117230</xdr:rowOff>
    </xdr:to>
    <xdr:graphicFrame macro="">
      <xdr:nvGraphicFramePr>
        <xdr:cNvPr id="24" name="Chart 23">
          <a:extLst>
            <a:ext uri="{FF2B5EF4-FFF2-40B4-BE49-F238E27FC236}">
              <a16:creationId xmlns:a16="http://schemas.microsoft.com/office/drawing/2014/main" id="{44F1472A-1AAA-4F47-BFD5-ADBB8AF7F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224691</xdr:colOff>
      <xdr:row>12</xdr:row>
      <xdr:rowOff>48845</xdr:rowOff>
    </xdr:from>
    <xdr:to>
      <xdr:col>25</xdr:col>
      <xdr:colOff>664307</xdr:colOff>
      <xdr:row>29</xdr:row>
      <xdr:rowOff>146538</xdr:rowOff>
    </xdr:to>
    <xdr:graphicFrame macro="">
      <xdr:nvGraphicFramePr>
        <xdr:cNvPr id="26" name="Chart 25">
          <a:extLst>
            <a:ext uri="{FF2B5EF4-FFF2-40B4-BE49-F238E27FC236}">
              <a16:creationId xmlns:a16="http://schemas.microsoft.com/office/drawing/2014/main" id="{E58FC8F2-CCA4-4191-B71E-E1299082B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379718</xdr:colOff>
      <xdr:row>0</xdr:row>
      <xdr:rowOff>71886</xdr:rowOff>
    </xdr:from>
    <xdr:to>
      <xdr:col>30</xdr:col>
      <xdr:colOff>263585</xdr:colOff>
      <xdr:row>16</xdr:row>
      <xdr:rowOff>83867</xdr:rowOff>
    </xdr:to>
    <mc:AlternateContent xmlns:mc="http://schemas.openxmlformats.org/markup-compatibility/2006" xmlns:a14="http://schemas.microsoft.com/office/drawing/2010/main">
      <mc:Choice Requires="a14">
        <xdr:graphicFrame macro="">
          <xdr:nvGraphicFramePr>
            <xdr:cNvPr id="27" name="Department">
              <a:extLst>
                <a:ext uri="{FF2B5EF4-FFF2-40B4-BE49-F238E27FC236}">
                  <a16:creationId xmlns:a16="http://schemas.microsoft.com/office/drawing/2014/main" id="{F8E0CA7C-668C-0553-380F-B0EA495FCFE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512737" y="71886"/>
              <a:ext cx="2519716" cy="2887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468940</xdr:colOff>
      <xdr:row>17</xdr:row>
      <xdr:rowOff>115139</xdr:rowOff>
    </xdr:from>
    <xdr:to>
      <xdr:col>30</xdr:col>
      <xdr:colOff>383394</xdr:colOff>
      <xdr:row>27</xdr:row>
      <xdr:rowOff>23963</xdr:rowOff>
    </xdr:to>
    <mc:AlternateContent xmlns:mc="http://schemas.openxmlformats.org/markup-compatibility/2006" xmlns:a14="http://schemas.microsoft.com/office/drawing/2010/main">
      <mc:Choice Requires="a14">
        <xdr:graphicFrame macro="">
          <xdr:nvGraphicFramePr>
            <xdr:cNvPr id="29" name="Treatment Type">
              <a:extLst>
                <a:ext uri="{FF2B5EF4-FFF2-40B4-BE49-F238E27FC236}">
                  <a16:creationId xmlns:a16="http://schemas.microsoft.com/office/drawing/2014/main" id="{7E6E78CB-FD6F-C217-56BC-17AE55BCE388}"/>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7601959" y="3170328"/>
              <a:ext cx="2550303" cy="1705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2.817291087966" createdVersion="8" refreshedVersion="8" minRefreshableVersion="3" recordCount="400" xr:uid="{B36140F5-E555-426A-B8D2-5C57428B4D20}">
  <cacheSource type="worksheet">
    <worksheetSource name="Cleaned_Data"/>
  </cacheSource>
  <cacheFields count="13">
    <cacheField name="Patient ID" numFmtId="0">
      <sharedItems/>
    </cacheField>
    <cacheField name="Department" numFmtId="0">
      <sharedItems count="7">
        <s v="Dermatology"/>
        <s v="Cardiology"/>
        <s v="Oncology"/>
        <s v="Orthopedics"/>
        <s v="Pediatrics"/>
        <s v="Neurology"/>
        <s v="General Medicine"/>
      </sharedItems>
    </cacheField>
    <cacheField name="Treatment Type" numFmtId="0">
      <sharedItems count="4">
        <s v="Surgery"/>
        <s v="Observation"/>
        <s v="Therapy"/>
        <s v="Medication"/>
      </sharedItems>
    </cacheField>
    <cacheField name="Doctor Name" numFmtId="0">
      <sharedItems count="10">
        <s v="Dr. Smith"/>
        <s v="Dr. Martinez"/>
        <s v="Dr. Rodriguez"/>
        <s v="Dr. Jones"/>
        <s v="Dr. Garcia"/>
        <s v="Dr. Johnson"/>
        <s v="Dr. Davis"/>
        <s v="Dr. Williams"/>
        <s v="Dr. Miller"/>
        <s v="Dr. Brown"/>
      </sharedItems>
    </cacheField>
    <cacheField name="Gender" numFmtId="0">
      <sharedItems count="3">
        <s v="Female"/>
        <s v="Male"/>
        <s v="Other"/>
      </sharedItems>
    </cacheField>
    <cacheField name="Age" numFmtId="1">
      <sharedItems containsSemiMixedTypes="0" containsString="0" containsNumber="1" containsInteger="1" minValue="1" maxValue="90" count="88">
        <n v="32"/>
        <n v="4"/>
        <n v="84"/>
        <n v="1"/>
        <n v="44"/>
        <n v="6"/>
        <n v="81"/>
        <n v="38"/>
        <n v="47"/>
        <n v="22"/>
        <n v="82"/>
        <n v="5"/>
        <n v="41"/>
        <n v="29"/>
        <n v="21"/>
        <n v="60"/>
        <n v="69"/>
        <n v="65"/>
        <n v="9"/>
        <n v="89"/>
        <n v="58"/>
        <n v="30"/>
        <n v="28"/>
        <n v="53"/>
        <n v="55"/>
        <n v="71"/>
        <n v="31"/>
        <n v="72"/>
        <n v="8"/>
        <n v="80"/>
        <n v="10"/>
        <n v="57"/>
        <n v="85"/>
        <n v="37"/>
        <n v="33"/>
        <n v="17"/>
        <n v="48"/>
        <n v="90"/>
        <n v="59"/>
        <n v="25"/>
        <n v="66"/>
        <n v="34"/>
        <n v="86"/>
        <n v="54"/>
        <n v="52"/>
        <n v="78"/>
        <n v="74"/>
        <n v="11"/>
        <n v="50"/>
        <n v="46"/>
        <n v="56"/>
        <n v="18"/>
        <n v="3"/>
        <n v="15"/>
        <n v="49"/>
        <n v="39"/>
        <n v="14"/>
        <n v="67"/>
        <n v="76"/>
        <n v="42"/>
        <n v="77"/>
        <n v="62"/>
        <n v="2"/>
        <n v="88"/>
        <n v="16"/>
        <n v="13"/>
        <n v="23"/>
        <n v="61"/>
        <n v="19"/>
        <n v="73"/>
        <n v="7"/>
        <n v="27"/>
        <n v="45"/>
        <n v="64"/>
        <n v="35"/>
        <n v="51"/>
        <n v="87"/>
        <n v="63"/>
        <n v="79"/>
        <n v="68"/>
        <n v="12"/>
        <n v="43"/>
        <n v="24"/>
        <n v="70"/>
        <n v="26"/>
        <n v="40"/>
        <n v="83"/>
        <n v="75"/>
      </sharedItems>
    </cacheField>
    <cacheField name="Treatment Cost" numFmtId="164">
      <sharedItems containsSemiMixedTypes="0" containsString="0" containsNumber="1" containsInteger="1" minValue="219" maxValue="19824" count="390">
        <n v="8657"/>
        <n v="6535"/>
        <n v="16490"/>
        <n v="1754"/>
        <n v="1837"/>
        <n v="6977"/>
        <n v="1466"/>
        <n v="6307"/>
        <n v="2332"/>
        <n v="5375"/>
        <n v="1609"/>
        <n v="3584"/>
        <n v="2241"/>
        <n v="1725"/>
        <n v="483"/>
        <n v="17977"/>
        <n v="13669"/>
        <n v="17302"/>
        <n v="4716"/>
        <n v="1871"/>
        <n v="4918"/>
        <n v="3519"/>
        <n v="17461"/>
        <n v="2671"/>
        <n v="2147"/>
        <n v="1991"/>
        <n v="5820"/>
        <n v="19084"/>
        <n v="4917"/>
        <n v="589"/>
        <n v="1969"/>
        <n v="18116"/>
        <n v="2003"/>
        <n v="6604"/>
        <n v="7724"/>
        <n v="3604"/>
        <n v="1555"/>
        <n v="4941"/>
        <n v="18970"/>
        <n v="16062"/>
        <n v="1171"/>
        <n v="2955"/>
        <n v="1076"/>
        <n v="9345"/>
        <n v="4950"/>
        <n v="6697"/>
        <n v="14909"/>
        <n v="916"/>
        <n v="6219"/>
        <n v="219"/>
        <n v="1713"/>
        <n v="3931"/>
        <n v="15168"/>
        <n v="1385"/>
        <n v="3764"/>
        <n v="11548"/>
        <n v="7925"/>
        <n v="12149"/>
        <n v="1651"/>
        <n v="3204"/>
        <n v="11691"/>
        <n v="6447"/>
        <n v="4988"/>
        <n v="3139"/>
        <n v="1194"/>
        <n v="6511"/>
        <n v="4392"/>
        <n v="598"/>
        <n v="1608"/>
        <n v="13486"/>
        <n v="4851"/>
        <n v="1073"/>
        <n v="1920"/>
        <n v="1661"/>
        <n v="2133"/>
        <n v="3210"/>
        <n v="19824"/>
        <n v="811"/>
        <n v="4478"/>
        <n v="1474"/>
        <n v="19202"/>
        <n v="3677"/>
        <n v="4852"/>
        <n v="17799"/>
        <n v="15179"/>
        <n v="1152"/>
        <n v="2341"/>
        <n v="11498"/>
        <n v="1491"/>
        <n v="1564"/>
        <n v="12102"/>
        <n v="1532"/>
        <n v="749"/>
        <n v="17295"/>
        <n v="572"/>
        <n v="6744"/>
        <n v="4502"/>
        <n v="390"/>
        <n v="4376"/>
        <n v="1129"/>
        <n v="1479"/>
        <n v="2765"/>
        <n v="2863"/>
        <n v="5893"/>
        <n v="2829"/>
        <n v="4913"/>
        <n v="309"/>
        <n v="5571"/>
        <n v="2935"/>
        <n v="17496"/>
        <n v="5521"/>
        <n v="796"/>
        <n v="3167"/>
        <n v="1084"/>
        <n v="3364"/>
        <n v="5423"/>
        <n v="9102"/>
        <n v="12708"/>
        <n v="6200"/>
        <n v="1856"/>
        <n v="1866"/>
        <n v="17657"/>
        <n v="8073"/>
        <n v="746"/>
        <n v="1446"/>
        <n v="1763"/>
        <n v="13337"/>
        <n v="496"/>
        <n v="3284"/>
        <n v="14501"/>
        <n v="3223"/>
        <n v="1628"/>
        <n v="3623"/>
        <n v="4614"/>
        <n v="5251"/>
        <n v="3273"/>
        <n v="11226"/>
        <n v="680"/>
        <n v="1323"/>
        <n v="3403"/>
        <n v="1975"/>
        <n v="1394"/>
        <n v="4811"/>
        <n v="2950"/>
        <n v="1947"/>
        <n v="1632"/>
        <n v="1793"/>
        <n v="1443"/>
        <n v="1620"/>
        <n v="14495"/>
        <n v="7877"/>
        <n v="2347"/>
        <n v="1616"/>
        <n v="228"/>
        <n v="736"/>
        <n v="1205"/>
        <n v="2975"/>
        <n v="6902"/>
        <n v="4925"/>
        <n v="3843"/>
        <n v="3971"/>
        <n v="2000"/>
        <n v="3232"/>
        <n v="2197"/>
        <n v="523"/>
        <n v="2079"/>
        <n v="2673"/>
        <n v="1175"/>
        <n v="5710"/>
        <n v="1935"/>
        <n v="6204"/>
        <n v="4992"/>
        <n v="1812"/>
        <n v="3889"/>
        <n v="1562"/>
        <n v="5600"/>
        <n v="17292"/>
        <n v="5734"/>
        <n v="1931"/>
        <n v="5595"/>
        <n v="3531"/>
        <n v="1070"/>
        <n v="11163"/>
        <n v="1195"/>
        <n v="11947"/>
        <n v="433"/>
        <n v="3526"/>
        <n v="17572"/>
        <n v="4527"/>
        <n v="3401"/>
        <n v="19124"/>
        <n v="242"/>
        <n v="698"/>
        <n v="8630"/>
        <n v="13355"/>
        <n v="3096"/>
        <n v="4547"/>
        <n v="861"/>
        <n v="820"/>
        <n v="4702"/>
        <n v="6038"/>
        <n v="15679"/>
        <n v="1122"/>
        <n v="9059"/>
        <n v="3673"/>
        <n v="14141"/>
        <n v="1667"/>
        <n v="834"/>
        <n v="5312"/>
        <n v="832"/>
        <n v="517"/>
        <n v="5618"/>
        <n v="1981"/>
        <n v="1673"/>
        <n v="3535"/>
        <n v="1229"/>
        <n v="927"/>
        <n v="6374"/>
        <n v="4195"/>
        <n v="11326"/>
        <n v="10493"/>
        <n v="6779"/>
        <n v="18680"/>
        <n v="816"/>
        <n v="1913"/>
        <n v="9772"/>
        <n v="6442"/>
        <n v="14079"/>
        <n v="719"/>
        <n v="15293"/>
        <n v="3773"/>
        <n v="329"/>
        <n v="19512"/>
        <n v="1742"/>
        <n v="3238"/>
        <n v="894"/>
        <n v="13937"/>
        <n v="12305"/>
        <n v="3388"/>
        <n v="10952"/>
        <n v="4089"/>
        <n v="765"/>
        <n v="1375"/>
        <n v="432"/>
        <n v="441"/>
        <n v="1621"/>
        <n v="1219"/>
        <n v="18948"/>
        <n v="2146"/>
        <n v="955"/>
        <n v="13612"/>
        <n v="6215"/>
        <n v="6241"/>
        <n v="1902"/>
        <n v="3834"/>
        <n v="9496"/>
        <n v="14513"/>
        <n v="1665"/>
        <n v="6063"/>
        <n v="4326"/>
        <n v="12609"/>
        <n v="3329"/>
        <n v="2980"/>
        <n v="794"/>
        <n v="3061"/>
        <n v="1218"/>
        <n v="299"/>
        <n v="1082"/>
        <n v="1419"/>
        <n v="5504"/>
        <n v="11114"/>
        <n v="4596"/>
        <n v="4243"/>
        <n v="1831"/>
        <n v="5360"/>
        <n v="3713"/>
        <n v="6370"/>
        <n v="1786"/>
        <n v="1400"/>
        <n v="2670"/>
        <n v="624"/>
        <n v="1141"/>
        <n v="3019"/>
        <n v="4505"/>
        <n v="5449"/>
        <n v="6850"/>
        <n v="3221"/>
        <n v="2460"/>
        <n v="3205"/>
        <n v="3833"/>
        <n v="984"/>
        <n v="1934"/>
        <n v="1995"/>
        <n v="13901"/>
        <n v="877"/>
        <n v="3416"/>
        <n v="1020"/>
        <n v="555"/>
        <n v="1392"/>
        <n v="6470"/>
        <n v="1461"/>
        <n v="5403"/>
        <n v="6279"/>
        <n v="3187"/>
        <n v="4149"/>
        <n v="1146"/>
        <n v="17219"/>
        <n v="13866"/>
        <n v="17547"/>
        <n v="1118"/>
        <n v="3719"/>
        <n v="4292"/>
        <n v="15074"/>
        <n v="14794"/>
        <n v="12191"/>
        <n v="8836"/>
        <n v="6408"/>
        <n v="2434"/>
        <n v="11244"/>
        <n v="576"/>
        <n v="4293"/>
        <n v="697"/>
        <n v="13775"/>
        <n v="585"/>
        <n v="2983"/>
        <n v="14902"/>
        <n v="6314"/>
        <n v="1807"/>
        <n v="1374"/>
        <n v="14488"/>
        <n v="2513"/>
        <n v="6927"/>
        <n v="5000"/>
        <n v="18402"/>
        <n v="8791"/>
        <n v="5990"/>
        <n v="1329"/>
        <n v="5114"/>
        <n v="15154"/>
        <n v="4056"/>
        <n v="759"/>
        <n v="1358"/>
        <n v="4395"/>
        <n v="2469"/>
        <n v="1830"/>
        <n v="1818"/>
        <n v="1622"/>
        <n v="1804"/>
        <n v="2521"/>
        <n v="3195"/>
        <n v="1249"/>
        <n v="2535"/>
        <n v="1335"/>
        <n v="4176"/>
        <n v="3618"/>
        <n v="2369"/>
        <n v="419"/>
        <n v="1846"/>
        <n v="1435"/>
        <n v="3387"/>
        <n v="3490"/>
        <n v="2217"/>
        <n v="15376"/>
        <n v="4178"/>
        <n v="1056"/>
        <n v="1895"/>
        <n v="5613"/>
        <n v="654"/>
        <n v="4599"/>
        <n v="437"/>
        <n v="5268"/>
        <n v="10225"/>
        <n v="6791"/>
        <n v="3211"/>
        <n v="4040"/>
        <n v="536"/>
        <n v="8063"/>
        <n v="1280"/>
        <n v="912"/>
        <n v="1658"/>
        <n v="4486"/>
        <n v="1649"/>
        <n v="1037"/>
        <n v="263"/>
        <n v="4746"/>
        <n v="18488"/>
        <n v="6677"/>
        <n v="1712"/>
        <n v="3372"/>
        <n v="2195"/>
      </sharedItems>
    </cacheField>
    <cacheField name="Hospital Stay (Days)" numFmtId="1">
      <sharedItems containsSemiMixedTypes="0" containsString="0" containsNumber="1" containsInteger="1" minValue="1" maxValue="15" count="15">
        <n v="7"/>
        <n v="8"/>
        <n v="13"/>
        <n v="1"/>
        <n v="3"/>
        <n v="9"/>
        <n v="2"/>
        <n v="5"/>
        <n v="4"/>
        <n v="15"/>
        <n v="6"/>
        <n v="10"/>
        <n v="11"/>
        <n v="14"/>
        <n v="12"/>
      </sharedItems>
    </cacheField>
    <cacheField name="Recovery Score" numFmtId="1">
      <sharedItems containsSemiMixedTypes="0" containsString="0" containsNumber="1" containsInteger="1" minValue="50" maxValue="100"/>
    </cacheField>
    <cacheField name="Age Group" numFmtId="0">
      <sharedItems count="5">
        <s v="Young Adult (20-35)"/>
        <s v="Child (0-12)"/>
        <s v="Senior (60+)"/>
        <s v="Adult (36-59)"/>
        <s v="Teen (13-19)"/>
      </sharedItems>
    </cacheField>
    <cacheField name="Cost Category" numFmtId="0">
      <sharedItems/>
    </cacheField>
    <cacheField name="Stay Category" numFmtId="0">
      <sharedItems/>
    </cacheField>
    <cacheField name="Recovery Status" numFmtId="0">
      <sharedItems/>
    </cacheField>
  </cacheFields>
  <extLst>
    <ext xmlns:x14="http://schemas.microsoft.com/office/spreadsheetml/2009/9/main" uri="{725AE2AE-9491-48be-B2B4-4EB974FC3084}">
      <x14:pivotCacheDefinition pivotCacheId="1034516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P1001"/>
    <x v="0"/>
    <x v="0"/>
    <x v="0"/>
    <x v="0"/>
    <x v="0"/>
    <x v="0"/>
    <x v="0"/>
    <n v="97"/>
    <x v="0"/>
    <s v="High (&gt;8k)"/>
    <s v="Medium (4-7 days)"/>
    <s v="Excellent"/>
  </r>
  <r>
    <s v="P1002"/>
    <x v="1"/>
    <x v="0"/>
    <x v="1"/>
    <x v="1"/>
    <x v="1"/>
    <x v="1"/>
    <x v="1"/>
    <n v="64"/>
    <x v="1"/>
    <s v="Medium (3k-8k)"/>
    <s v="Long (8+ days)"/>
    <s v="Needs Attention"/>
  </r>
  <r>
    <s v="P1003"/>
    <x v="2"/>
    <x v="0"/>
    <x v="2"/>
    <x v="1"/>
    <x v="2"/>
    <x v="2"/>
    <x v="2"/>
    <n v="76"/>
    <x v="2"/>
    <s v="High (&gt;8k)"/>
    <s v="Long (8+ days)"/>
    <s v="Good"/>
  </r>
  <r>
    <s v="P1004"/>
    <x v="3"/>
    <x v="1"/>
    <x v="1"/>
    <x v="1"/>
    <x v="3"/>
    <x v="3"/>
    <x v="3"/>
    <n v="94"/>
    <x v="1"/>
    <s v="Low (&lt;3k)"/>
    <s v="Short (1-3 days)"/>
    <s v="Excellent"/>
  </r>
  <r>
    <s v="P1005"/>
    <x v="4"/>
    <x v="2"/>
    <x v="3"/>
    <x v="1"/>
    <x v="4"/>
    <x v="4"/>
    <x v="4"/>
    <n v="74"/>
    <x v="3"/>
    <s v="Low (&lt;3k)"/>
    <s v="Short (1-3 days)"/>
    <s v="Good"/>
  </r>
  <r>
    <s v="P1006"/>
    <x v="1"/>
    <x v="2"/>
    <x v="4"/>
    <x v="0"/>
    <x v="5"/>
    <x v="5"/>
    <x v="5"/>
    <n v="84"/>
    <x v="1"/>
    <s v="Medium (3k-8k)"/>
    <s v="Long (8+ days)"/>
    <s v="Good"/>
  </r>
  <r>
    <s v="P1007"/>
    <x v="1"/>
    <x v="1"/>
    <x v="5"/>
    <x v="0"/>
    <x v="6"/>
    <x v="6"/>
    <x v="6"/>
    <n v="86"/>
    <x v="2"/>
    <s v="Low (&lt;3k)"/>
    <s v="Short (1-3 days)"/>
    <s v="Excellent"/>
  </r>
  <r>
    <s v="P1008"/>
    <x v="3"/>
    <x v="0"/>
    <x v="0"/>
    <x v="0"/>
    <x v="7"/>
    <x v="7"/>
    <x v="1"/>
    <n v="56"/>
    <x v="3"/>
    <s v="Medium (3k-8k)"/>
    <s v="Long (8+ days)"/>
    <s v="Needs Attention"/>
  </r>
  <r>
    <s v="P1009"/>
    <x v="4"/>
    <x v="2"/>
    <x v="6"/>
    <x v="0"/>
    <x v="8"/>
    <x v="8"/>
    <x v="0"/>
    <n v="72"/>
    <x v="3"/>
    <s v="Low (&lt;3k)"/>
    <s v="Medium (4-7 days)"/>
    <s v="Good"/>
  </r>
  <r>
    <s v="P1010"/>
    <x v="3"/>
    <x v="2"/>
    <x v="5"/>
    <x v="0"/>
    <x v="9"/>
    <x v="9"/>
    <x v="7"/>
    <n v="60"/>
    <x v="0"/>
    <s v="Medium (3k-8k)"/>
    <s v="Medium (4-7 days)"/>
    <s v="Needs Attention"/>
  </r>
  <r>
    <s v="P1011"/>
    <x v="4"/>
    <x v="1"/>
    <x v="3"/>
    <x v="2"/>
    <x v="10"/>
    <x v="10"/>
    <x v="4"/>
    <n v="64"/>
    <x v="2"/>
    <s v="Low (&lt;3k)"/>
    <s v="Short (1-3 days)"/>
    <s v="Needs Attention"/>
  </r>
  <r>
    <s v="P1012"/>
    <x v="0"/>
    <x v="2"/>
    <x v="0"/>
    <x v="1"/>
    <x v="11"/>
    <x v="11"/>
    <x v="1"/>
    <n v="67"/>
    <x v="1"/>
    <s v="Medium (3k-8k)"/>
    <s v="Long (8+ days)"/>
    <s v="Needs Attention"/>
  </r>
  <r>
    <s v="P1013"/>
    <x v="1"/>
    <x v="3"/>
    <x v="1"/>
    <x v="0"/>
    <x v="12"/>
    <x v="12"/>
    <x v="8"/>
    <n v="75"/>
    <x v="3"/>
    <s v="Low (&lt;3k)"/>
    <s v="Medium (4-7 days)"/>
    <s v="Good"/>
  </r>
  <r>
    <s v="P1014"/>
    <x v="0"/>
    <x v="1"/>
    <x v="7"/>
    <x v="1"/>
    <x v="0"/>
    <x v="13"/>
    <x v="4"/>
    <n v="84"/>
    <x v="0"/>
    <s v="Low (&lt;3k)"/>
    <s v="Short (1-3 days)"/>
    <s v="Good"/>
  </r>
  <r>
    <s v="P1015"/>
    <x v="5"/>
    <x v="1"/>
    <x v="1"/>
    <x v="1"/>
    <x v="13"/>
    <x v="14"/>
    <x v="4"/>
    <n v="81"/>
    <x v="0"/>
    <s v="Low (&lt;3k)"/>
    <s v="Short (1-3 days)"/>
    <s v="Good"/>
  </r>
  <r>
    <s v="P1016"/>
    <x v="1"/>
    <x v="0"/>
    <x v="5"/>
    <x v="1"/>
    <x v="14"/>
    <x v="15"/>
    <x v="9"/>
    <n v="77"/>
    <x v="0"/>
    <s v="High (&gt;8k)"/>
    <s v="Long (8+ days)"/>
    <s v="Good"/>
  </r>
  <r>
    <s v="P1017"/>
    <x v="2"/>
    <x v="0"/>
    <x v="8"/>
    <x v="1"/>
    <x v="15"/>
    <x v="16"/>
    <x v="5"/>
    <n v="85"/>
    <x v="2"/>
    <s v="High (&gt;8k)"/>
    <s v="Long (8+ days)"/>
    <s v="Excellent"/>
  </r>
  <r>
    <s v="P1018"/>
    <x v="6"/>
    <x v="0"/>
    <x v="5"/>
    <x v="0"/>
    <x v="16"/>
    <x v="17"/>
    <x v="5"/>
    <n v="99"/>
    <x v="2"/>
    <s v="High (&gt;8k)"/>
    <s v="Long (8+ days)"/>
    <s v="Excellent"/>
  </r>
  <r>
    <s v="P1019"/>
    <x v="0"/>
    <x v="2"/>
    <x v="5"/>
    <x v="1"/>
    <x v="14"/>
    <x v="18"/>
    <x v="6"/>
    <n v="96"/>
    <x v="0"/>
    <s v="Medium (3k-8k)"/>
    <s v="Short (1-3 days)"/>
    <s v="Excellent"/>
  </r>
  <r>
    <s v="P1020"/>
    <x v="0"/>
    <x v="2"/>
    <x v="2"/>
    <x v="0"/>
    <x v="17"/>
    <x v="19"/>
    <x v="10"/>
    <n v="90"/>
    <x v="2"/>
    <s v="Low (&lt;3k)"/>
    <s v="Medium (4-7 days)"/>
    <s v="Excellent"/>
  </r>
  <r>
    <s v="P1021"/>
    <x v="2"/>
    <x v="3"/>
    <x v="7"/>
    <x v="1"/>
    <x v="14"/>
    <x v="20"/>
    <x v="7"/>
    <n v="50"/>
    <x v="0"/>
    <s v="Medium (3k-8k)"/>
    <s v="Medium (4-7 days)"/>
    <s v="Needs Attention"/>
  </r>
  <r>
    <s v="P1022"/>
    <x v="2"/>
    <x v="2"/>
    <x v="6"/>
    <x v="1"/>
    <x v="8"/>
    <x v="21"/>
    <x v="7"/>
    <n v="53"/>
    <x v="3"/>
    <s v="Medium (3k-8k)"/>
    <s v="Medium (4-7 days)"/>
    <s v="Needs Attention"/>
  </r>
  <r>
    <s v="P1023"/>
    <x v="3"/>
    <x v="0"/>
    <x v="5"/>
    <x v="0"/>
    <x v="18"/>
    <x v="22"/>
    <x v="2"/>
    <n v="99"/>
    <x v="1"/>
    <s v="High (&gt;8k)"/>
    <s v="Long (8+ days)"/>
    <s v="Excellent"/>
  </r>
  <r>
    <s v="P1024"/>
    <x v="3"/>
    <x v="3"/>
    <x v="6"/>
    <x v="0"/>
    <x v="9"/>
    <x v="23"/>
    <x v="7"/>
    <n v="88"/>
    <x v="0"/>
    <s v="Low (&lt;3k)"/>
    <s v="Medium (4-7 days)"/>
    <s v="Excellent"/>
  </r>
  <r>
    <s v="P1025"/>
    <x v="4"/>
    <x v="3"/>
    <x v="2"/>
    <x v="0"/>
    <x v="19"/>
    <x v="24"/>
    <x v="4"/>
    <n v="75"/>
    <x v="2"/>
    <s v="Low (&lt;3k)"/>
    <s v="Short (1-3 days)"/>
    <s v="Good"/>
  </r>
  <r>
    <s v="P1026"/>
    <x v="0"/>
    <x v="2"/>
    <x v="6"/>
    <x v="0"/>
    <x v="20"/>
    <x v="25"/>
    <x v="7"/>
    <n v="64"/>
    <x v="3"/>
    <s v="Low (&lt;3k)"/>
    <s v="Medium (4-7 days)"/>
    <s v="Needs Attention"/>
  </r>
  <r>
    <s v="P1027"/>
    <x v="1"/>
    <x v="2"/>
    <x v="0"/>
    <x v="0"/>
    <x v="21"/>
    <x v="26"/>
    <x v="7"/>
    <n v="50"/>
    <x v="0"/>
    <s v="Medium (3k-8k)"/>
    <s v="Medium (4-7 days)"/>
    <s v="Needs Attention"/>
  </r>
  <r>
    <s v="P1028"/>
    <x v="1"/>
    <x v="0"/>
    <x v="9"/>
    <x v="1"/>
    <x v="11"/>
    <x v="27"/>
    <x v="11"/>
    <n v="54"/>
    <x v="1"/>
    <s v="High (&gt;8k)"/>
    <s v="Long (8+ days)"/>
    <s v="Needs Attention"/>
  </r>
  <r>
    <s v="P1029"/>
    <x v="2"/>
    <x v="3"/>
    <x v="3"/>
    <x v="0"/>
    <x v="22"/>
    <x v="28"/>
    <x v="6"/>
    <n v="96"/>
    <x v="0"/>
    <s v="Medium (3k-8k)"/>
    <s v="Short (1-3 days)"/>
    <s v="Excellent"/>
  </r>
  <r>
    <s v="P1030"/>
    <x v="2"/>
    <x v="1"/>
    <x v="9"/>
    <x v="0"/>
    <x v="23"/>
    <x v="29"/>
    <x v="3"/>
    <n v="56"/>
    <x v="3"/>
    <s v="Low (&lt;3k)"/>
    <s v="Short (1-3 days)"/>
    <s v="Needs Attention"/>
  </r>
  <r>
    <s v="P1031"/>
    <x v="0"/>
    <x v="1"/>
    <x v="4"/>
    <x v="1"/>
    <x v="15"/>
    <x v="30"/>
    <x v="4"/>
    <n v="53"/>
    <x v="2"/>
    <s v="Low (&lt;3k)"/>
    <s v="Short (1-3 days)"/>
    <s v="Needs Attention"/>
  </r>
  <r>
    <s v="P1032"/>
    <x v="0"/>
    <x v="0"/>
    <x v="0"/>
    <x v="1"/>
    <x v="4"/>
    <x v="31"/>
    <x v="10"/>
    <n v="65"/>
    <x v="3"/>
    <s v="High (&gt;8k)"/>
    <s v="Medium (4-7 days)"/>
    <s v="Needs Attention"/>
  </r>
  <r>
    <s v="P1033"/>
    <x v="3"/>
    <x v="3"/>
    <x v="2"/>
    <x v="1"/>
    <x v="24"/>
    <x v="32"/>
    <x v="4"/>
    <n v="79"/>
    <x v="3"/>
    <s v="Low (&lt;3k)"/>
    <s v="Short (1-3 days)"/>
    <s v="Good"/>
  </r>
  <r>
    <s v="P1034"/>
    <x v="3"/>
    <x v="0"/>
    <x v="6"/>
    <x v="0"/>
    <x v="25"/>
    <x v="33"/>
    <x v="7"/>
    <n v="91"/>
    <x v="2"/>
    <s v="Medium (3k-8k)"/>
    <s v="Medium (4-7 days)"/>
    <s v="Excellent"/>
  </r>
  <r>
    <s v="P1035"/>
    <x v="2"/>
    <x v="0"/>
    <x v="5"/>
    <x v="0"/>
    <x v="26"/>
    <x v="34"/>
    <x v="12"/>
    <n v="81"/>
    <x v="0"/>
    <s v="Medium (3k-8k)"/>
    <s v="Long (8+ days)"/>
    <s v="Good"/>
  </r>
  <r>
    <s v="P1036"/>
    <x v="4"/>
    <x v="3"/>
    <x v="8"/>
    <x v="0"/>
    <x v="9"/>
    <x v="35"/>
    <x v="3"/>
    <n v="74"/>
    <x v="0"/>
    <s v="Medium (3k-8k)"/>
    <s v="Short (1-3 days)"/>
    <s v="Good"/>
  </r>
  <r>
    <s v="P1037"/>
    <x v="5"/>
    <x v="1"/>
    <x v="3"/>
    <x v="1"/>
    <x v="27"/>
    <x v="36"/>
    <x v="4"/>
    <n v="81"/>
    <x v="2"/>
    <s v="Low (&lt;3k)"/>
    <s v="Short (1-3 days)"/>
    <s v="Good"/>
  </r>
  <r>
    <s v="P1038"/>
    <x v="3"/>
    <x v="3"/>
    <x v="3"/>
    <x v="1"/>
    <x v="28"/>
    <x v="37"/>
    <x v="3"/>
    <n v="97"/>
    <x v="1"/>
    <s v="Medium (3k-8k)"/>
    <s v="Short (1-3 days)"/>
    <s v="Excellent"/>
  </r>
  <r>
    <s v="P1039"/>
    <x v="5"/>
    <x v="0"/>
    <x v="0"/>
    <x v="0"/>
    <x v="17"/>
    <x v="38"/>
    <x v="2"/>
    <n v="60"/>
    <x v="2"/>
    <s v="High (&gt;8k)"/>
    <s v="Long (8+ days)"/>
    <s v="Needs Attention"/>
  </r>
  <r>
    <s v="P1040"/>
    <x v="1"/>
    <x v="0"/>
    <x v="7"/>
    <x v="1"/>
    <x v="18"/>
    <x v="39"/>
    <x v="1"/>
    <n v="75"/>
    <x v="1"/>
    <s v="High (&gt;8k)"/>
    <s v="Long (8+ days)"/>
    <s v="Good"/>
  </r>
  <r>
    <s v="P1041"/>
    <x v="1"/>
    <x v="3"/>
    <x v="1"/>
    <x v="0"/>
    <x v="29"/>
    <x v="40"/>
    <x v="8"/>
    <n v="92"/>
    <x v="2"/>
    <s v="Low (&lt;3k)"/>
    <s v="Medium (4-7 days)"/>
    <s v="Excellent"/>
  </r>
  <r>
    <s v="P1042"/>
    <x v="2"/>
    <x v="2"/>
    <x v="3"/>
    <x v="1"/>
    <x v="12"/>
    <x v="41"/>
    <x v="10"/>
    <n v="75"/>
    <x v="3"/>
    <s v="Low (&lt;3k)"/>
    <s v="Medium (4-7 days)"/>
    <s v="Good"/>
  </r>
  <r>
    <s v="P1043"/>
    <x v="3"/>
    <x v="2"/>
    <x v="6"/>
    <x v="1"/>
    <x v="30"/>
    <x v="42"/>
    <x v="5"/>
    <n v="89"/>
    <x v="1"/>
    <s v="Low (&lt;3k)"/>
    <s v="Long (8+ days)"/>
    <s v="Excellent"/>
  </r>
  <r>
    <s v="P1044"/>
    <x v="2"/>
    <x v="0"/>
    <x v="5"/>
    <x v="0"/>
    <x v="17"/>
    <x v="43"/>
    <x v="0"/>
    <n v="72"/>
    <x v="2"/>
    <s v="High (&gt;8k)"/>
    <s v="Medium (4-7 days)"/>
    <s v="Good"/>
  </r>
  <r>
    <s v="P1045"/>
    <x v="1"/>
    <x v="3"/>
    <x v="4"/>
    <x v="1"/>
    <x v="31"/>
    <x v="44"/>
    <x v="4"/>
    <n v="89"/>
    <x v="3"/>
    <s v="Medium (3k-8k)"/>
    <s v="Short (1-3 days)"/>
    <s v="Excellent"/>
  </r>
  <r>
    <s v="P1046"/>
    <x v="6"/>
    <x v="0"/>
    <x v="2"/>
    <x v="1"/>
    <x v="32"/>
    <x v="45"/>
    <x v="0"/>
    <n v="66"/>
    <x v="2"/>
    <s v="Medium (3k-8k)"/>
    <s v="Medium (4-7 days)"/>
    <s v="Needs Attention"/>
  </r>
  <r>
    <s v="P1047"/>
    <x v="1"/>
    <x v="0"/>
    <x v="2"/>
    <x v="1"/>
    <x v="33"/>
    <x v="46"/>
    <x v="1"/>
    <n v="95"/>
    <x v="3"/>
    <s v="High (&gt;8k)"/>
    <s v="Long (8+ days)"/>
    <s v="Excellent"/>
  </r>
  <r>
    <s v="P1048"/>
    <x v="5"/>
    <x v="3"/>
    <x v="3"/>
    <x v="0"/>
    <x v="34"/>
    <x v="47"/>
    <x v="3"/>
    <n v="90"/>
    <x v="0"/>
    <s v="Low (&lt;3k)"/>
    <s v="Short (1-3 days)"/>
    <s v="Excellent"/>
  </r>
  <r>
    <s v="P1049"/>
    <x v="4"/>
    <x v="2"/>
    <x v="0"/>
    <x v="1"/>
    <x v="35"/>
    <x v="48"/>
    <x v="10"/>
    <n v="60"/>
    <x v="4"/>
    <s v="Medium (3k-8k)"/>
    <s v="Medium (4-7 days)"/>
    <s v="Needs Attention"/>
  </r>
  <r>
    <s v="P1050"/>
    <x v="0"/>
    <x v="1"/>
    <x v="2"/>
    <x v="0"/>
    <x v="27"/>
    <x v="49"/>
    <x v="3"/>
    <n v="54"/>
    <x v="2"/>
    <s v="Low (&lt;3k)"/>
    <s v="Short (1-3 days)"/>
    <s v="Needs Attention"/>
  </r>
  <r>
    <s v="P1051"/>
    <x v="0"/>
    <x v="3"/>
    <x v="2"/>
    <x v="1"/>
    <x v="36"/>
    <x v="50"/>
    <x v="8"/>
    <n v="58"/>
    <x v="3"/>
    <s v="Low (&lt;3k)"/>
    <s v="Medium (4-7 days)"/>
    <s v="Needs Attention"/>
  </r>
  <r>
    <s v="P1052"/>
    <x v="1"/>
    <x v="2"/>
    <x v="4"/>
    <x v="0"/>
    <x v="5"/>
    <x v="51"/>
    <x v="7"/>
    <n v="93"/>
    <x v="1"/>
    <s v="Medium (3k-8k)"/>
    <s v="Medium (4-7 days)"/>
    <s v="Excellent"/>
  </r>
  <r>
    <s v="P1053"/>
    <x v="3"/>
    <x v="0"/>
    <x v="4"/>
    <x v="0"/>
    <x v="23"/>
    <x v="52"/>
    <x v="0"/>
    <n v="65"/>
    <x v="3"/>
    <s v="High (&gt;8k)"/>
    <s v="Medium (4-7 days)"/>
    <s v="Needs Attention"/>
  </r>
  <r>
    <s v="P1054"/>
    <x v="6"/>
    <x v="3"/>
    <x v="7"/>
    <x v="0"/>
    <x v="1"/>
    <x v="30"/>
    <x v="4"/>
    <n v="100"/>
    <x v="1"/>
    <s v="Low (&lt;3k)"/>
    <s v="Short (1-3 days)"/>
    <s v="Excellent"/>
  </r>
  <r>
    <s v="P1055"/>
    <x v="4"/>
    <x v="3"/>
    <x v="3"/>
    <x v="1"/>
    <x v="37"/>
    <x v="53"/>
    <x v="8"/>
    <n v="52"/>
    <x v="2"/>
    <s v="Low (&lt;3k)"/>
    <s v="Medium (4-7 days)"/>
    <s v="Needs Attention"/>
  </r>
  <r>
    <s v="P1056"/>
    <x v="6"/>
    <x v="1"/>
    <x v="9"/>
    <x v="1"/>
    <x v="38"/>
    <x v="47"/>
    <x v="6"/>
    <n v="100"/>
    <x v="3"/>
    <s v="Low (&lt;3k)"/>
    <s v="Short (1-3 days)"/>
    <s v="Excellent"/>
  </r>
  <r>
    <s v="P1057"/>
    <x v="6"/>
    <x v="3"/>
    <x v="9"/>
    <x v="1"/>
    <x v="39"/>
    <x v="54"/>
    <x v="4"/>
    <n v="67"/>
    <x v="0"/>
    <s v="Medium (3k-8k)"/>
    <s v="Short (1-3 days)"/>
    <s v="Needs Attention"/>
  </r>
  <r>
    <s v="P1058"/>
    <x v="6"/>
    <x v="0"/>
    <x v="3"/>
    <x v="1"/>
    <x v="40"/>
    <x v="55"/>
    <x v="9"/>
    <n v="84"/>
    <x v="2"/>
    <s v="High (&gt;8k)"/>
    <s v="Long (8+ days)"/>
    <s v="Good"/>
  </r>
  <r>
    <s v="P1059"/>
    <x v="5"/>
    <x v="0"/>
    <x v="5"/>
    <x v="0"/>
    <x v="41"/>
    <x v="56"/>
    <x v="13"/>
    <n v="66"/>
    <x v="0"/>
    <s v="Medium (3k-8k)"/>
    <s v="Long (8+ days)"/>
    <s v="Needs Attention"/>
  </r>
  <r>
    <s v="P1060"/>
    <x v="1"/>
    <x v="0"/>
    <x v="1"/>
    <x v="1"/>
    <x v="12"/>
    <x v="57"/>
    <x v="13"/>
    <n v="82"/>
    <x v="3"/>
    <s v="High (&gt;8k)"/>
    <s v="Long (8+ days)"/>
    <s v="Good"/>
  </r>
  <r>
    <s v="P1061"/>
    <x v="1"/>
    <x v="1"/>
    <x v="1"/>
    <x v="1"/>
    <x v="5"/>
    <x v="58"/>
    <x v="6"/>
    <n v="50"/>
    <x v="1"/>
    <s v="Low (&lt;3k)"/>
    <s v="Short (1-3 days)"/>
    <s v="Needs Attention"/>
  </r>
  <r>
    <s v="P1062"/>
    <x v="2"/>
    <x v="3"/>
    <x v="4"/>
    <x v="1"/>
    <x v="42"/>
    <x v="59"/>
    <x v="7"/>
    <n v="70"/>
    <x v="2"/>
    <s v="Medium (3k-8k)"/>
    <s v="Medium (4-7 days)"/>
    <s v="Good"/>
  </r>
  <r>
    <s v="P1063"/>
    <x v="0"/>
    <x v="0"/>
    <x v="3"/>
    <x v="0"/>
    <x v="42"/>
    <x v="60"/>
    <x v="11"/>
    <n v="75"/>
    <x v="2"/>
    <s v="High (&gt;8k)"/>
    <s v="Long (8+ days)"/>
    <s v="Good"/>
  </r>
  <r>
    <s v="P1064"/>
    <x v="0"/>
    <x v="2"/>
    <x v="2"/>
    <x v="1"/>
    <x v="43"/>
    <x v="61"/>
    <x v="1"/>
    <n v="93"/>
    <x v="3"/>
    <s v="Medium (3k-8k)"/>
    <s v="Long (8+ days)"/>
    <s v="Excellent"/>
  </r>
  <r>
    <s v="P1065"/>
    <x v="0"/>
    <x v="3"/>
    <x v="1"/>
    <x v="0"/>
    <x v="44"/>
    <x v="62"/>
    <x v="3"/>
    <n v="69"/>
    <x v="3"/>
    <s v="Medium (3k-8k)"/>
    <s v="Short (1-3 days)"/>
    <s v="Needs Attention"/>
  </r>
  <r>
    <s v="P1066"/>
    <x v="5"/>
    <x v="3"/>
    <x v="8"/>
    <x v="0"/>
    <x v="45"/>
    <x v="63"/>
    <x v="8"/>
    <n v="78"/>
    <x v="2"/>
    <s v="Medium (3k-8k)"/>
    <s v="Medium (4-7 days)"/>
    <s v="Good"/>
  </r>
  <r>
    <s v="P1067"/>
    <x v="4"/>
    <x v="3"/>
    <x v="2"/>
    <x v="1"/>
    <x v="9"/>
    <x v="64"/>
    <x v="4"/>
    <n v="82"/>
    <x v="0"/>
    <s v="Low (&lt;3k)"/>
    <s v="Short (1-3 days)"/>
    <s v="Good"/>
  </r>
  <r>
    <s v="P1068"/>
    <x v="0"/>
    <x v="2"/>
    <x v="5"/>
    <x v="0"/>
    <x v="26"/>
    <x v="65"/>
    <x v="10"/>
    <n v="64"/>
    <x v="0"/>
    <s v="Medium (3k-8k)"/>
    <s v="Medium (4-7 days)"/>
    <s v="Needs Attention"/>
  </r>
  <r>
    <s v="P1069"/>
    <x v="6"/>
    <x v="3"/>
    <x v="7"/>
    <x v="1"/>
    <x v="0"/>
    <x v="66"/>
    <x v="7"/>
    <n v="99"/>
    <x v="0"/>
    <s v="Medium (3k-8k)"/>
    <s v="Medium (4-7 days)"/>
    <s v="Excellent"/>
  </r>
  <r>
    <s v="P1070"/>
    <x v="1"/>
    <x v="1"/>
    <x v="8"/>
    <x v="0"/>
    <x v="46"/>
    <x v="67"/>
    <x v="4"/>
    <n v="94"/>
    <x v="2"/>
    <s v="Low (&lt;3k)"/>
    <s v="Short (1-3 days)"/>
    <s v="Excellent"/>
  </r>
  <r>
    <s v="P1071"/>
    <x v="4"/>
    <x v="1"/>
    <x v="8"/>
    <x v="1"/>
    <x v="2"/>
    <x v="68"/>
    <x v="3"/>
    <n v="98"/>
    <x v="2"/>
    <s v="Low (&lt;3k)"/>
    <s v="Short (1-3 days)"/>
    <s v="Excellent"/>
  </r>
  <r>
    <s v="P1072"/>
    <x v="6"/>
    <x v="0"/>
    <x v="8"/>
    <x v="1"/>
    <x v="37"/>
    <x v="69"/>
    <x v="14"/>
    <n v="53"/>
    <x v="2"/>
    <s v="High (&gt;8k)"/>
    <s v="Long (8+ days)"/>
    <s v="Needs Attention"/>
  </r>
  <r>
    <s v="P1073"/>
    <x v="2"/>
    <x v="3"/>
    <x v="5"/>
    <x v="1"/>
    <x v="15"/>
    <x v="70"/>
    <x v="7"/>
    <n v="88"/>
    <x v="2"/>
    <s v="Medium (3k-8k)"/>
    <s v="Medium (4-7 days)"/>
    <s v="Excellent"/>
  </r>
  <r>
    <s v="P1074"/>
    <x v="5"/>
    <x v="1"/>
    <x v="1"/>
    <x v="0"/>
    <x v="17"/>
    <x v="71"/>
    <x v="4"/>
    <n v="78"/>
    <x v="2"/>
    <s v="Low (&lt;3k)"/>
    <s v="Short (1-3 days)"/>
    <s v="Good"/>
  </r>
  <r>
    <s v="P1075"/>
    <x v="3"/>
    <x v="1"/>
    <x v="6"/>
    <x v="1"/>
    <x v="0"/>
    <x v="72"/>
    <x v="4"/>
    <n v="67"/>
    <x v="0"/>
    <s v="Low (&lt;3k)"/>
    <s v="Short (1-3 days)"/>
    <s v="Needs Attention"/>
  </r>
  <r>
    <s v="P1076"/>
    <x v="6"/>
    <x v="1"/>
    <x v="9"/>
    <x v="1"/>
    <x v="30"/>
    <x v="73"/>
    <x v="6"/>
    <n v="65"/>
    <x v="1"/>
    <s v="Low (&lt;3k)"/>
    <s v="Short (1-3 days)"/>
    <s v="Needs Attention"/>
  </r>
  <r>
    <s v="P1077"/>
    <x v="5"/>
    <x v="2"/>
    <x v="4"/>
    <x v="0"/>
    <x v="47"/>
    <x v="74"/>
    <x v="8"/>
    <n v="64"/>
    <x v="1"/>
    <s v="Low (&lt;3k)"/>
    <s v="Medium (4-7 days)"/>
    <s v="Needs Attention"/>
  </r>
  <r>
    <s v="P1078"/>
    <x v="4"/>
    <x v="3"/>
    <x v="9"/>
    <x v="1"/>
    <x v="23"/>
    <x v="75"/>
    <x v="7"/>
    <n v="79"/>
    <x v="3"/>
    <s v="Medium (3k-8k)"/>
    <s v="Medium (4-7 days)"/>
    <s v="Good"/>
  </r>
  <r>
    <s v="P1079"/>
    <x v="4"/>
    <x v="0"/>
    <x v="9"/>
    <x v="0"/>
    <x v="48"/>
    <x v="76"/>
    <x v="13"/>
    <n v="94"/>
    <x v="3"/>
    <s v="High (&gt;8k)"/>
    <s v="Long (8+ days)"/>
    <s v="Excellent"/>
  </r>
  <r>
    <s v="P1080"/>
    <x v="1"/>
    <x v="1"/>
    <x v="6"/>
    <x v="1"/>
    <x v="49"/>
    <x v="77"/>
    <x v="6"/>
    <n v="76"/>
    <x v="3"/>
    <s v="Low (&lt;3k)"/>
    <s v="Short (1-3 days)"/>
    <s v="Good"/>
  </r>
  <r>
    <s v="P1081"/>
    <x v="2"/>
    <x v="3"/>
    <x v="6"/>
    <x v="1"/>
    <x v="50"/>
    <x v="78"/>
    <x v="3"/>
    <n v="74"/>
    <x v="3"/>
    <s v="Medium (3k-8k)"/>
    <s v="Short (1-3 days)"/>
    <s v="Good"/>
  </r>
  <r>
    <s v="P1082"/>
    <x v="5"/>
    <x v="1"/>
    <x v="7"/>
    <x v="0"/>
    <x v="35"/>
    <x v="79"/>
    <x v="4"/>
    <n v="51"/>
    <x v="4"/>
    <s v="Low (&lt;3k)"/>
    <s v="Short (1-3 days)"/>
    <s v="Needs Attention"/>
  </r>
  <r>
    <s v="P1083"/>
    <x v="4"/>
    <x v="0"/>
    <x v="5"/>
    <x v="0"/>
    <x v="51"/>
    <x v="80"/>
    <x v="14"/>
    <n v="61"/>
    <x v="4"/>
    <s v="High (&gt;8k)"/>
    <s v="Long (8+ days)"/>
    <s v="Needs Attention"/>
  </r>
  <r>
    <s v="P1084"/>
    <x v="1"/>
    <x v="2"/>
    <x v="8"/>
    <x v="1"/>
    <x v="38"/>
    <x v="81"/>
    <x v="0"/>
    <n v="98"/>
    <x v="3"/>
    <s v="Medium (3k-8k)"/>
    <s v="Medium (4-7 days)"/>
    <s v="Excellent"/>
  </r>
  <r>
    <s v="P1085"/>
    <x v="4"/>
    <x v="2"/>
    <x v="8"/>
    <x v="1"/>
    <x v="47"/>
    <x v="82"/>
    <x v="6"/>
    <n v="97"/>
    <x v="1"/>
    <s v="Medium (3k-8k)"/>
    <s v="Short (1-3 days)"/>
    <s v="Excellent"/>
  </r>
  <r>
    <s v="P1086"/>
    <x v="2"/>
    <x v="0"/>
    <x v="4"/>
    <x v="1"/>
    <x v="18"/>
    <x v="83"/>
    <x v="9"/>
    <n v="52"/>
    <x v="1"/>
    <s v="High (&gt;8k)"/>
    <s v="Long (8+ days)"/>
    <s v="Needs Attention"/>
  </r>
  <r>
    <s v="P1087"/>
    <x v="6"/>
    <x v="0"/>
    <x v="9"/>
    <x v="1"/>
    <x v="52"/>
    <x v="84"/>
    <x v="0"/>
    <n v="65"/>
    <x v="1"/>
    <s v="High (&gt;8k)"/>
    <s v="Medium (4-7 days)"/>
    <s v="Needs Attention"/>
  </r>
  <r>
    <s v="P1088"/>
    <x v="3"/>
    <x v="1"/>
    <x v="5"/>
    <x v="0"/>
    <x v="22"/>
    <x v="85"/>
    <x v="4"/>
    <n v="66"/>
    <x v="0"/>
    <s v="Low (&lt;3k)"/>
    <s v="Short (1-3 days)"/>
    <s v="Needs Attention"/>
  </r>
  <r>
    <s v="P1089"/>
    <x v="6"/>
    <x v="2"/>
    <x v="7"/>
    <x v="0"/>
    <x v="53"/>
    <x v="86"/>
    <x v="10"/>
    <n v="56"/>
    <x v="4"/>
    <s v="Low (&lt;3k)"/>
    <s v="Medium (4-7 days)"/>
    <s v="Needs Attention"/>
  </r>
  <r>
    <s v="P1090"/>
    <x v="2"/>
    <x v="0"/>
    <x v="3"/>
    <x v="0"/>
    <x v="54"/>
    <x v="87"/>
    <x v="1"/>
    <n v="54"/>
    <x v="3"/>
    <s v="High (&gt;8k)"/>
    <s v="Long (8+ days)"/>
    <s v="Needs Attention"/>
  </r>
  <r>
    <s v="P1091"/>
    <x v="2"/>
    <x v="3"/>
    <x v="5"/>
    <x v="0"/>
    <x v="55"/>
    <x v="88"/>
    <x v="7"/>
    <n v="100"/>
    <x v="3"/>
    <s v="Low (&lt;3k)"/>
    <s v="Medium (4-7 days)"/>
    <s v="Excellent"/>
  </r>
  <r>
    <s v="P1092"/>
    <x v="1"/>
    <x v="2"/>
    <x v="2"/>
    <x v="1"/>
    <x v="36"/>
    <x v="89"/>
    <x v="11"/>
    <n v="91"/>
    <x v="3"/>
    <s v="Low (&lt;3k)"/>
    <s v="Long (8+ days)"/>
    <s v="Excellent"/>
  </r>
  <r>
    <s v="P1093"/>
    <x v="5"/>
    <x v="0"/>
    <x v="8"/>
    <x v="0"/>
    <x v="56"/>
    <x v="90"/>
    <x v="11"/>
    <n v="90"/>
    <x v="4"/>
    <s v="High (&gt;8k)"/>
    <s v="Long (8+ days)"/>
    <s v="Excellent"/>
  </r>
  <r>
    <s v="P1094"/>
    <x v="6"/>
    <x v="1"/>
    <x v="7"/>
    <x v="1"/>
    <x v="57"/>
    <x v="91"/>
    <x v="6"/>
    <n v="89"/>
    <x v="2"/>
    <s v="Low (&lt;3k)"/>
    <s v="Short (1-3 days)"/>
    <s v="Excellent"/>
  </r>
  <r>
    <s v="P1095"/>
    <x v="6"/>
    <x v="1"/>
    <x v="6"/>
    <x v="1"/>
    <x v="58"/>
    <x v="92"/>
    <x v="6"/>
    <n v="65"/>
    <x v="2"/>
    <s v="Low (&lt;3k)"/>
    <s v="Short (1-3 days)"/>
    <s v="Needs Attention"/>
  </r>
  <r>
    <s v="P1096"/>
    <x v="6"/>
    <x v="0"/>
    <x v="3"/>
    <x v="0"/>
    <x v="0"/>
    <x v="93"/>
    <x v="14"/>
    <n v="86"/>
    <x v="0"/>
    <s v="High (&gt;8k)"/>
    <s v="Long (8+ days)"/>
    <s v="Excellent"/>
  </r>
  <r>
    <s v="P1097"/>
    <x v="2"/>
    <x v="1"/>
    <x v="4"/>
    <x v="1"/>
    <x v="59"/>
    <x v="94"/>
    <x v="6"/>
    <n v="63"/>
    <x v="3"/>
    <s v="Low (&lt;3k)"/>
    <s v="Short (1-3 days)"/>
    <s v="Needs Attention"/>
  </r>
  <r>
    <s v="P1098"/>
    <x v="5"/>
    <x v="2"/>
    <x v="4"/>
    <x v="1"/>
    <x v="60"/>
    <x v="95"/>
    <x v="10"/>
    <n v="85"/>
    <x v="2"/>
    <s v="Medium (3k-8k)"/>
    <s v="Medium (4-7 days)"/>
    <s v="Excellent"/>
  </r>
  <r>
    <s v="P1099"/>
    <x v="1"/>
    <x v="3"/>
    <x v="5"/>
    <x v="1"/>
    <x v="23"/>
    <x v="96"/>
    <x v="7"/>
    <n v="98"/>
    <x v="3"/>
    <s v="Medium (3k-8k)"/>
    <s v="Medium (4-7 days)"/>
    <s v="Excellent"/>
  </r>
  <r>
    <s v="P1100"/>
    <x v="3"/>
    <x v="1"/>
    <x v="6"/>
    <x v="1"/>
    <x v="52"/>
    <x v="97"/>
    <x v="6"/>
    <n v="64"/>
    <x v="1"/>
    <s v="Low (&lt;3k)"/>
    <s v="Short (1-3 days)"/>
    <s v="Needs Attention"/>
  </r>
  <r>
    <s v="P1101"/>
    <x v="4"/>
    <x v="3"/>
    <x v="3"/>
    <x v="0"/>
    <x v="36"/>
    <x v="98"/>
    <x v="7"/>
    <n v="83"/>
    <x v="3"/>
    <s v="Medium (3k-8k)"/>
    <s v="Medium (4-7 days)"/>
    <s v="Good"/>
  </r>
  <r>
    <s v="P1102"/>
    <x v="5"/>
    <x v="1"/>
    <x v="2"/>
    <x v="1"/>
    <x v="37"/>
    <x v="99"/>
    <x v="6"/>
    <n v="69"/>
    <x v="2"/>
    <s v="Low (&lt;3k)"/>
    <s v="Short (1-3 days)"/>
    <s v="Needs Attention"/>
  </r>
  <r>
    <s v="P1103"/>
    <x v="5"/>
    <x v="3"/>
    <x v="5"/>
    <x v="0"/>
    <x v="12"/>
    <x v="100"/>
    <x v="7"/>
    <n v="98"/>
    <x v="3"/>
    <s v="Low (&lt;3k)"/>
    <s v="Medium (4-7 days)"/>
    <s v="Excellent"/>
  </r>
  <r>
    <s v="P1104"/>
    <x v="0"/>
    <x v="3"/>
    <x v="9"/>
    <x v="1"/>
    <x v="61"/>
    <x v="101"/>
    <x v="7"/>
    <n v="98"/>
    <x v="2"/>
    <s v="Low (&lt;3k)"/>
    <s v="Medium (4-7 days)"/>
    <s v="Excellent"/>
  </r>
  <r>
    <s v="P1105"/>
    <x v="2"/>
    <x v="2"/>
    <x v="5"/>
    <x v="0"/>
    <x v="7"/>
    <x v="102"/>
    <x v="0"/>
    <n v="61"/>
    <x v="3"/>
    <s v="Low (&lt;3k)"/>
    <s v="Medium (4-7 days)"/>
    <s v="Needs Attention"/>
  </r>
  <r>
    <s v="P1106"/>
    <x v="5"/>
    <x v="0"/>
    <x v="2"/>
    <x v="1"/>
    <x v="5"/>
    <x v="103"/>
    <x v="2"/>
    <n v="68"/>
    <x v="1"/>
    <s v="Medium (3k-8k)"/>
    <s v="Long (8+ days)"/>
    <s v="Needs Attention"/>
  </r>
  <r>
    <s v="P1107"/>
    <x v="0"/>
    <x v="3"/>
    <x v="6"/>
    <x v="1"/>
    <x v="62"/>
    <x v="104"/>
    <x v="8"/>
    <n v="80"/>
    <x v="1"/>
    <s v="Low (&lt;3k)"/>
    <s v="Medium (4-7 days)"/>
    <s v="Good"/>
  </r>
  <r>
    <s v="P1108"/>
    <x v="4"/>
    <x v="2"/>
    <x v="7"/>
    <x v="0"/>
    <x v="34"/>
    <x v="105"/>
    <x v="4"/>
    <n v="54"/>
    <x v="0"/>
    <s v="Medium (3k-8k)"/>
    <s v="Short (1-3 days)"/>
    <s v="Needs Attention"/>
  </r>
  <r>
    <s v="P1109"/>
    <x v="4"/>
    <x v="1"/>
    <x v="5"/>
    <x v="0"/>
    <x v="63"/>
    <x v="106"/>
    <x v="3"/>
    <n v="59"/>
    <x v="2"/>
    <s v="Low (&lt;3k)"/>
    <s v="Short (1-3 days)"/>
    <s v="Needs Attention"/>
  </r>
  <r>
    <s v="P1110"/>
    <x v="6"/>
    <x v="2"/>
    <x v="5"/>
    <x v="2"/>
    <x v="64"/>
    <x v="107"/>
    <x v="1"/>
    <n v="88"/>
    <x v="4"/>
    <s v="Medium (3k-8k)"/>
    <s v="Long (8+ days)"/>
    <s v="Excellent"/>
  </r>
  <r>
    <s v="P1111"/>
    <x v="2"/>
    <x v="3"/>
    <x v="2"/>
    <x v="1"/>
    <x v="31"/>
    <x v="108"/>
    <x v="7"/>
    <n v="77"/>
    <x v="3"/>
    <s v="Low (&lt;3k)"/>
    <s v="Medium (4-7 days)"/>
    <s v="Good"/>
  </r>
  <r>
    <s v="P1112"/>
    <x v="5"/>
    <x v="0"/>
    <x v="1"/>
    <x v="0"/>
    <x v="65"/>
    <x v="109"/>
    <x v="1"/>
    <n v="90"/>
    <x v="4"/>
    <s v="High (&gt;8k)"/>
    <s v="Long (8+ days)"/>
    <s v="Excellent"/>
  </r>
  <r>
    <s v="P1113"/>
    <x v="3"/>
    <x v="2"/>
    <x v="5"/>
    <x v="1"/>
    <x v="66"/>
    <x v="110"/>
    <x v="4"/>
    <n v="60"/>
    <x v="0"/>
    <s v="Medium (3k-8k)"/>
    <s v="Short (1-3 days)"/>
    <s v="Needs Attention"/>
  </r>
  <r>
    <s v="P1114"/>
    <x v="1"/>
    <x v="1"/>
    <x v="6"/>
    <x v="0"/>
    <x v="67"/>
    <x v="111"/>
    <x v="3"/>
    <n v="64"/>
    <x v="2"/>
    <s v="Low (&lt;3k)"/>
    <s v="Short (1-3 days)"/>
    <s v="Needs Attention"/>
  </r>
  <r>
    <s v="P1115"/>
    <x v="5"/>
    <x v="2"/>
    <x v="6"/>
    <x v="1"/>
    <x v="21"/>
    <x v="112"/>
    <x v="7"/>
    <n v="77"/>
    <x v="0"/>
    <s v="Medium (3k-8k)"/>
    <s v="Medium (4-7 days)"/>
    <s v="Good"/>
  </r>
  <r>
    <s v="P1116"/>
    <x v="1"/>
    <x v="3"/>
    <x v="7"/>
    <x v="0"/>
    <x v="68"/>
    <x v="113"/>
    <x v="3"/>
    <n v="60"/>
    <x v="4"/>
    <s v="Low (&lt;3k)"/>
    <s v="Short (1-3 days)"/>
    <s v="Needs Attention"/>
  </r>
  <r>
    <s v="P1117"/>
    <x v="6"/>
    <x v="2"/>
    <x v="1"/>
    <x v="0"/>
    <x v="69"/>
    <x v="114"/>
    <x v="5"/>
    <n v="57"/>
    <x v="2"/>
    <s v="Medium (3k-8k)"/>
    <s v="Long (8+ days)"/>
    <s v="Needs Attention"/>
  </r>
  <r>
    <s v="P1118"/>
    <x v="4"/>
    <x v="2"/>
    <x v="8"/>
    <x v="0"/>
    <x v="17"/>
    <x v="115"/>
    <x v="5"/>
    <n v="78"/>
    <x v="2"/>
    <s v="Medium (3k-8k)"/>
    <s v="Long (8+ days)"/>
    <s v="Good"/>
  </r>
  <r>
    <s v="P1119"/>
    <x v="1"/>
    <x v="0"/>
    <x v="8"/>
    <x v="0"/>
    <x v="45"/>
    <x v="116"/>
    <x v="7"/>
    <n v="55"/>
    <x v="2"/>
    <s v="High (&gt;8k)"/>
    <s v="Medium (4-7 days)"/>
    <s v="Needs Attention"/>
  </r>
  <r>
    <s v="P1120"/>
    <x v="3"/>
    <x v="0"/>
    <x v="3"/>
    <x v="0"/>
    <x v="66"/>
    <x v="117"/>
    <x v="2"/>
    <n v="91"/>
    <x v="0"/>
    <s v="High (&gt;8k)"/>
    <s v="Long (8+ days)"/>
    <s v="Excellent"/>
  </r>
  <r>
    <s v="P1121"/>
    <x v="4"/>
    <x v="2"/>
    <x v="7"/>
    <x v="2"/>
    <x v="50"/>
    <x v="118"/>
    <x v="5"/>
    <n v="55"/>
    <x v="3"/>
    <s v="Medium (3k-8k)"/>
    <s v="Long (8+ days)"/>
    <s v="Needs Attention"/>
  </r>
  <r>
    <s v="P1122"/>
    <x v="4"/>
    <x v="2"/>
    <x v="8"/>
    <x v="1"/>
    <x v="42"/>
    <x v="119"/>
    <x v="8"/>
    <n v="71"/>
    <x v="2"/>
    <s v="Low (&lt;3k)"/>
    <s v="Medium (4-7 days)"/>
    <s v="Good"/>
  </r>
  <r>
    <s v="P1123"/>
    <x v="4"/>
    <x v="1"/>
    <x v="3"/>
    <x v="0"/>
    <x v="44"/>
    <x v="120"/>
    <x v="4"/>
    <n v="52"/>
    <x v="3"/>
    <s v="Low (&lt;3k)"/>
    <s v="Short (1-3 days)"/>
    <s v="Needs Attention"/>
  </r>
  <r>
    <s v="P1124"/>
    <x v="4"/>
    <x v="0"/>
    <x v="4"/>
    <x v="1"/>
    <x v="53"/>
    <x v="121"/>
    <x v="12"/>
    <n v="82"/>
    <x v="4"/>
    <s v="High (&gt;8k)"/>
    <s v="Long (8+ days)"/>
    <s v="Good"/>
  </r>
  <r>
    <s v="P1125"/>
    <x v="6"/>
    <x v="0"/>
    <x v="2"/>
    <x v="1"/>
    <x v="70"/>
    <x v="122"/>
    <x v="2"/>
    <n v="73"/>
    <x v="1"/>
    <s v="High (&gt;8k)"/>
    <s v="Long (8+ days)"/>
    <s v="Good"/>
  </r>
  <r>
    <s v="P1126"/>
    <x v="2"/>
    <x v="1"/>
    <x v="6"/>
    <x v="0"/>
    <x v="71"/>
    <x v="123"/>
    <x v="4"/>
    <n v="58"/>
    <x v="0"/>
    <s v="Low (&lt;3k)"/>
    <s v="Short (1-3 days)"/>
    <s v="Needs Attention"/>
  </r>
  <r>
    <s v="P1127"/>
    <x v="5"/>
    <x v="1"/>
    <x v="6"/>
    <x v="1"/>
    <x v="6"/>
    <x v="124"/>
    <x v="3"/>
    <n v="95"/>
    <x v="2"/>
    <s v="Low (&lt;3k)"/>
    <s v="Short (1-3 days)"/>
    <s v="Excellent"/>
  </r>
  <r>
    <s v="P1128"/>
    <x v="3"/>
    <x v="2"/>
    <x v="2"/>
    <x v="1"/>
    <x v="23"/>
    <x v="125"/>
    <x v="7"/>
    <n v="57"/>
    <x v="3"/>
    <s v="Low (&lt;3k)"/>
    <s v="Medium (4-7 days)"/>
    <s v="Needs Attention"/>
  </r>
  <r>
    <s v="P1129"/>
    <x v="4"/>
    <x v="0"/>
    <x v="7"/>
    <x v="0"/>
    <x v="7"/>
    <x v="126"/>
    <x v="5"/>
    <n v="76"/>
    <x v="3"/>
    <s v="High (&gt;8k)"/>
    <s v="Long (8+ days)"/>
    <s v="Good"/>
  </r>
  <r>
    <s v="P1130"/>
    <x v="6"/>
    <x v="1"/>
    <x v="6"/>
    <x v="1"/>
    <x v="25"/>
    <x v="127"/>
    <x v="6"/>
    <n v="62"/>
    <x v="2"/>
    <s v="Low (&lt;3k)"/>
    <s v="Short (1-3 days)"/>
    <s v="Needs Attention"/>
  </r>
  <r>
    <s v="P1131"/>
    <x v="2"/>
    <x v="3"/>
    <x v="5"/>
    <x v="1"/>
    <x v="43"/>
    <x v="128"/>
    <x v="7"/>
    <n v="67"/>
    <x v="3"/>
    <s v="Medium (3k-8k)"/>
    <s v="Medium (4-7 days)"/>
    <s v="Needs Attention"/>
  </r>
  <r>
    <s v="P1132"/>
    <x v="6"/>
    <x v="0"/>
    <x v="3"/>
    <x v="0"/>
    <x v="58"/>
    <x v="129"/>
    <x v="9"/>
    <n v="81"/>
    <x v="2"/>
    <s v="High (&gt;8k)"/>
    <s v="Long (8+ days)"/>
    <s v="Good"/>
  </r>
  <r>
    <s v="P1133"/>
    <x v="6"/>
    <x v="3"/>
    <x v="6"/>
    <x v="0"/>
    <x v="72"/>
    <x v="130"/>
    <x v="7"/>
    <n v="98"/>
    <x v="3"/>
    <s v="Medium (3k-8k)"/>
    <s v="Medium (4-7 days)"/>
    <s v="Excellent"/>
  </r>
  <r>
    <s v="P1134"/>
    <x v="2"/>
    <x v="1"/>
    <x v="6"/>
    <x v="0"/>
    <x v="39"/>
    <x v="131"/>
    <x v="3"/>
    <n v="86"/>
    <x v="0"/>
    <s v="Low (&lt;3k)"/>
    <s v="Short (1-3 days)"/>
    <s v="Excellent"/>
  </r>
  <r>
    <s v="P1135"/>
    <x v="4"/>
    <x v="3"/>
    <x v="8"/>
    <x v="1"/>
    <x v="67"/>
    <x v="132"/>
    <x v="8"/>
    <n v="92"/>
    <x v="2"/>
    <s v="Medium (3k-8k)"/>
    <s v="Medium (4-7 days)"/>
    <s v="Excellent"/>
  </r>
  <r>
    <s v="P1136"/>
    <x v="6"/>
    <x v="3"/>
    <x v="6"/>
    <x v="0"/>
    <x v="35"/>
    <x v="133"/>
    <x v="7"/>
    <n v="71"/>
    <x v="4"/>
    <s v="Medium (3k-8k)"/>
    <s v="Medium (4-7 days)"/>
    <s v="Good"/>
  </r>
  <r>
    <s v="P1137"/>
    <x v="6"/>
    <x v="0"/>
    <x v="6"/>
    <x v="1"/>
    <x v="38"/>
    <x v="134"/>
    <x v="0"/>
    <n v="76"/>
    <x v="3"/>
    <s v="Medium (3k-8k)"/>
    <s v="Medium (4-7 days)"/>
    <s v="Good"/>
  </r>
  <r>
    <s v="P1138"/>
    <x v="6"/>
    <x v="3"/>
    <x v="5"/>
    <x v="1"/>
    <x v="41"/>
    <x v="135"/>
    <x v="7"/>
    <n v="94"/>
    <x v="0"/>
    <s v="Medium (3k-8k)"/>
    <s v="Medium (4-7 days)"/>
    <s v="Excellent"/>
  </r>
  <r>
    <s v="P1139"/>
    <x v="4"/>
    <x v="0"/>
    <x v="4"/>
    <x v="0"/>
    <x v="16"/>
    <x v="136"/>
    <x v="11"/>
    <n v="90"/>
    <x v="2"/>
    <s v="High (&gt;8k)"/>
    <s v="Long (8+ days)"/>
    <s v="Excellent"/>
  </r>
  <r>
    <s v="P1140"/>
    <x v="0"/>
    <x v="1"/>
    <x v="2"/>
    <x v="1"/>
    <x v="18"/>
    <x v="137"/>
    <x v="4"/>
    <n v="93"/>
    <x v="1"/>
    <s v="Low (&lt;3k)"/>
    <s v="Short (1-3 days)"/>
    <s v="Excellent"/>
  </r>
  <r>
    <s v="P1141"/>
    <x v="5"/>
    <x v="3"/>
    <x v="5"/>
    <x v="1"/>
    <x v="65"/>
    <x v="138"/>
    <x v="8"/>
    <n v="60"/>
    <x v="4"/>
    <s v="Low (&lt;3k)"/>
    <s v="Medium (4-7 days)"/>
    <s v="Needs Attention"/>
  </r>
  <r>
    <s v="P1142"/>
    <x v="0"/>
    <x v="2"/>
    <x v="0"/>
    <x v="1"/>
    <x v="28"/>
    <x v="139"/>
    <x v="0"/>
    <n v="73"/>
    <x v="1"/>
    <s v="Medium (3k-8k)"/>
    <s v="Medium (4-7 days)"/>
    <s v="Good"/>
  </r>
  <r>
    <s v="P1143"/>
    <x v="4"/>
    <x v="3"/>
    <x v="9"/>
    <x v="0"/>
    <x v="69"/>
    <x v="140"/>
    <x v="6"/>
    <n v="61"/>
    <x v="2"/>
    <s v="Low (&lt;3k)"/>
    <s v="Short (1-3 days)"/>
    <s v="Needs Attention"/>
  </r>
  <r>
    <s v="P1144"/>
    <x v="1"/>
    <x v="1"/>
    <x v="1"/>
    <x v="0"/>
    <x v="73"/>
    <x v="141"/>
    <x v="3"/>
    <n v="64"/>
    <x v="2"/>
    <s v="Low (&lt;3k)"/>
    <s v="Short (1-3 days)"/>
    <s v="Needs Attention"/>
  </r>
  <r>
    <s v="P1145"/>
    <x v="4"/>
    <x v="2"/>
    <x v="6"/>
    <x v="1"/>
    <x v="62"/>
    <x v="142"/>
    <x v="10"/>
    <n v="93"/>
    <x v="1"/>
    <s v="Medium (3k-8k)"/>
    <s v="Medium (4-7 days)"/>
    <s v="Excellent"/>
  </r>
  <r>
    <s v="P1146"/>
    <x v="2"/>
    <x v="3"/>
    <x v="5"/>
    <x v="1"/>
    <x v="72"/>
    <x v="143"/>
    <x v="8"/>
    <n v="94"/>
    <x v="3"/>
    <s v="Low (&lt;3k)"/>
    <s v="Medium (4-7 days)"/>
    <s v="Excellent"/>
  </r>
  <r>
    <s v="P1147"/>
    <x v="5"/>
    <x v="1"/>
    <x v="3"/>
    <x v="1"/>
    <x v="48"/>
    <x v="144"/>
    <x v="6"/>
    <n v="56"/>
    <x v="3"/>
    <s v="Low (&lt;3k)"/>
    <s v="Short (1-3 days)"/>
    <s v="Needs Attention"/>
  </r>
  <r>
    <s v="P1148"/>
    <x v="3"/>
    <x v="1"/>
    <x v="1"/>
    <x v="1"/>
    <x v="7"/>
    <x v="145"/>
    <x v="6"/>
    <n v="51"/>
    <x v="3"/>
    <s v="Low (&lt;3k)"/>
    <s v="Short (1-3 days)"/>
    <s v="Needs Attention"/>
  </r>
  <r>
    <s v="P1149"/>
    <x v="6"/>
    <x v="1"/>
    <x v="3"/>
    <x v="1"/>
    <x v="63"/>
    <x v="146"/>
    <x v="4"/>
    <n v="53"/>
    <x v="2"/>
    <s v="Low (&lt;3k)"/>
    <s v="Short (1-3 days)"/>
    <s v="Needs Attention"/>
  </r>
  <r>
    <s v="P1150"/>
    <x v="2"/>
    <x v="1"/>
    <x v="3"/>
    <x v="0"/>
    <x v="21"/>
    <x v="147"/>
    <x v="6"/>
    <n v="64"/>
    <x v="0"/>
    <s v="Low (&lt;3k)"/>
    <s v="Short (1-3 days)"/>
    <s v="Needs Attention"/>
  </r>
  <r>
    <s v="P1151"/>
    <x v="0"/>
    <x v="3"/>
    <x v="1"/>
    <x v="1"/>
    <x v="32"/>
    <x v="148"/>
    <x v="3"/>
    <n v="90"/>
    <x v="2"/>
    <s v="Low (&lt;3k)"/>
    <s v="Short (1-3 days)"/>
    <s v="Excellent"/>
  </r>
  <r>
    <s v="P1152"/>
    <x v="0"/>
    <x v="0"/>
    <x v="3"/>
    <x v="0"/>
    <x v="11"/>
    <x v="149"/>
    <x v="11"/>
    <n v="96"/>
    <x v="1"/>
    <s v="High (&gt;8k)"/>
    <s v="Long (8+ days)"/>
    <s v="Excellent"/>
  </r>
  <r>
    <s v="P1153"/>
    <x v="3"/>
    <x v="0"/>
    <x v="3"/>
    <x v="1"/>
    <x v="43"/>
    <x v="150"/>
    <x v="1"/>
    <n v="58"/>
    <x v="3"/>
    <s v="Medium (3k-8k)"/>
    <s v="Long (8+ days)"/>
    <s v="Needs Attention"/>
  </r>
  <r>
    <s v="P1154"/>
    <x v="6"/>
    <x v="2"/>
    <x v="2"/>
    <x v="0"/>
    <x v="74"/>
    <x v="151"/>
    <x v="10"/>
    <n v="80"/>
    <x v="0"/>
    <s v="Low (&lt;3k)"/>
    <s v="Medium (4-7 days)"/>
    <s v="Good"/>
  </r>
  <r>
    <s v="P1155"/>
    <x v="6"/>
    <x v="2"/>
    <x v="4"/>
    <x v="0"/>
    <x v="15"/>
    <x v="152"/>
    <x v="8"/>
    <n v="98"/>
    <x v="2"/>
    <s v="Low (&lt;3k)"/>
    <s v="Medium (4-7 days)"/>
    <s v="Excellent"/>
  </r>
  <r>
    <s v="P1156"/>
    <x v="3"/>
    <x v="1"/>
    <x v="2"/>
    <x v="1"/>
    <x v="75"/>
    <x v="153"/>
    <x v="6"/>
    <n v="84"/>
    <x v="3"/>
    <s v="Low (&lt;3k)"/>
    <s v="Short (1-3 days)"/>
    <s v="Good"/>
  </r>
  <r>
    <s v="P1157"/>
    <x v="1"/>
    <x v="1"/>
    <x v="4"/>
    <x v="0"/>
    <x v="76"/>
    <x v="154"/>
    <x v="4"/>
    <n v="74"/>
    <x v="2"/>
    <s v="Low (&lt;3k)"/>
    <s v="Short (1-3 days)"/>
    <s v="Good"/>
  </r>
  <r>
    <s v="P1158"/>
    <x v="6"/>
    <x v="2"/>
    <x v="5"/>
    <x v="0"/>
    <x v="67"/>
    <x v="155"/>
    <x v="11"/>
    <n v="70"/>
    <x v="2"/>
    <s v="Low (&lt;3k)"/>
    <s v="Long (8+ days)"/>
    <s v="Good"/>
  </r>
  <r>
    <s v="P1159"/>
    <x v="2"/>
    <x v="3"/>
    <x v="5"/>
    <x v="0"/>
    <x v="15"/>
    <x v="156"/>
    <x v="8"/>
    <n v="57"/>
    <x v="2"/>
    <s v="Low (&lt;3k)"/>
    <s v="Medium (4-7 days)"/>
    <s v="Needs Attention"/>
  </r>
  <r>
    <s v="P1160"/>
    <x v="3"/>
    <x v="0"/>
    <x v="0"/>
    <x v="1"/>
    <x v="73"/>
    <x v="157"/>
    <x v="10"/>
    <n v="65"/>
    <x v="2"/>
    <s v="Medium (3k-8k)"/>
    <s v="Medium (4-7 days)"/>
    <s v="Needs Attention"/>
  </r>
  <r>
    <s v="P1161"/>
    <x v="2"/>
    <x v="3"/>
    <x v="8"/>
    <x v="1"/>
    <x v="42"/>
    <x v="158"/>
    <x v="8"/>
    <n v="87"/>
    <x v="2"/>
    <s v="Medium (3k-8k)"/>
    <s v="Medium (4-7 days)"/>
    <s v="Excellent"/>
  </r>
  <r>
    <s v="P1162"/>
    <x v="0"/>
    <x v="3"/>
    <x v="8"/>
    <x v="0"/>
    <x v="77"/>
    <x v="159"/>
    <x v="4"/>
    <n v="52"/>
    <x v="2"/>
    <s v="Medium (3k-8k)"/>
    <s v="Short (1-3 days)"/>
    <s v="Needs Attention"/>
  </r>
  <r>
    <s v="P1163"/>
    <x v="0"/>
    <x v="2"/>
    <x v="9"/>
    <x v="1"/>
    <x v="26"/>
    <x v="160"/>
    <x v="4"/>
    <n v="93"/>
    <x v="0"/>
    <s v="Medium (3k-8k)"/>
    <s v="Short (1-3 days)"/>
    <s v="Excellent"/>
  </r>
  <r>
    <s v="P1164"/>
    <x v="5"/>
    <x v="2"/>
    <x v="0"/>
    <x v="1"/>
    <x v="39"/>
    <x v="161"/>
    <x v="5"/>
    <n v="55"/>
    <x v="0"/>
    <s v="Low (&lt;3k)"/>
    <s v="Long (8+ days)"/>
    <s v="Needs Attention"/>
  </r>
  <r>
    <s v="P1165"/>
    <x v="0"/>
    <x v="3"/>
    <x v="1"/>
    <x v="0"/>
    <x v="70"/>
    <x v="162"/>
    <x v="6"/>
    <n v="58"/>
    <x v="1"/>
    <s v="Medium (3k-8k)"/>
    <s v="Short (1-3 days)"/>
    <s v="Needs Attention"/>
  </r>
  <r>
    <s v="P1166"/>
    <x v="6"/>
    <x v="3"/>
    <x v="5"/>
    <x v="0"/>
    <x v="25"/>
    <x v="163"/>
    <x v="7"/>
    <n v="63"/>
    <x v="2"/>
    <s v="Low (&lt;3k)"/>
    <s v="Medium (4-7 days)"/>
    <s v="Needs Attention"/>
  </r>
  <r>
    <s v="P1167"/>
    <x v="6"/>
    <x v="3"/>
    <x v="4"/>
    <x v="0"/>
    <x v="60"/>
    <x v="164"/>
    <x v="4"/>
    <n v="59"/>
    <x v="2"/>
    <s v="Low (&lt;3k)"/>
    <s v="Short (1-3 days)"/>
    <s v="Needs Attention"/>
  </r>
  <r>
    <s v="P1168"/>
    <x v="3"/>
    <x v="2"/>
    <x v="7"/>
    <x v="1"/>
    <x v="1"/>
    <x v="165"/>
    <x v="6"/>
    <n v="72"/>
    <x v="1"/>
    <s v="Low (&lt;3k)"/>
    <s v="Short (1-3 days)"/>
    <s v="Good"/>
  </r>
  <r>
    <s v="P1169"/>
    <x v="6"/>
    <x v="3"/>
    <x v="1"/>
    <x v="1"/>
    <x v="66"/>
    <x v="166"/>
    <x v="3"/>
    <n v="58"/>
    <x v="0"/>
    <s v="Low (&lt;3k)"/>
    <s v="Short (1-3 days)"/>
    <s v="Needs Attention"/>
  </r>
  <r>
    <s v="P1170"/>
    <x v="0"/>
    <x v="1"/>
    <x v="2"/>
    <x v="1"/>
    <x v="18"/>
    <x v="167"/>
    <x v="6"/>
    <n v="99"/>
    <x v="1"/>
    <s v="Low (&lt;3k)"/>
    <s v="Short (1-3 days)"/>
    <s v="Excellent"/>
  </r>
  <r>
    <s v="P1171"/>
    <x v="5"/>
    <x v="0"/>
    <x v="6"/>
    <x v="0"/>
    <x v="78"/>
    <x v="168"/>
    <x v="9"/>
    <n v="83"/>
    <x v="2"/>
    <s v="Medium (3k-8k)"/>
    <s v="Long (8+ days)"/>
    <s v="Good"/>
  </r>
  <r>
    <s v="P1172"/>
    <x v="5"/>
    <x v="1"/>
    <x v="0"/>
    <x v="1"/>
    <x v="61"/>
    <x v="169"/>
    <x v="6"/>
    <n v="77"/>
    <x v="2"/>
    <s v="Low (&lt;3k)"/>
    <s v="Short (1-3 days)"/>
    <s v="Good"/>
  </r>
  <r>
    <s v="P1173"/>
    <x v="0"/>
    <x v="0"/>
    <x v="6"/>
    <x v="0"/>
    <x v="31"/>
    <x v="170"/>
    <x v="10"/>
    <n v="70"/>
    <x v="3"/>
    <s v="Medium (3k-8k)"/>
    <s v="Medium (4-7 days)"/>
    <s v="Good"/>
  </r>
  <r>
    <s v="P1174"/>
    <x v="2"/>
    <x v="3"/>
    <x v="5"/>
    <x v="1"/>
    <x v="29"/>
    <x v="171"/>
    <x v="4"/>
    <n v="74"/>
    <x v="2"/>
    <s v="Medium (3k-8k)"/>
    <s v="Short (1-3 days)"/>
    <s v="Good"/>
  </r>
  <r>
    <s v="P1175"/>
    <x v="2"/>
    <x v="2"/>
    <x v="6"/>
    <x v="0"/>
    <x v="50"/>
    <x v="172"/>
    <x v="4"/>
    <n v="91"/>
    <x v="3"/>
    <s v="Low (&lt;3k)"/>
    <s v="Short (1-3 days)"/>
    <s v="Excellent"/>
  </r>
  <r>
    <s v="P1176"/>
    <x v="0"/>
    <x v="3"/>
    <x v="8"/>
    <x v="1"/>
    <x v="21"/>
    <x v="173"/>
    <x v="4"/>
    <n v="79"/>
    <x v="0"/>
    <s v="Medium (3k-8k)"/>
    <s v="Short (1-3 days)"/>
    <s v="Good"/>
  </r>
  <r>
    <s v="P1177"/>
    <x v="4"/>
    <x v="1"/>
    <x v="5"/>
    <x v="1"/>
    <x v="12"/>
    <x v="174"/>
    <x v="6"/>
    <n v="73"/>
    <x v="3"/>
    <s v="Low (&lt;3k)"/>
    <s v="Short (1-3 days)"/>
    <s v="Good"/>
  </r>
  <r>
    <s v="P1178"/>
    <x v="3"/>
    <x v="1"/>
    <x v="5"/>
    <x v="1"/>
    <x v="47"/>
    <x v="97"/>
    <x v="6"/>
    <n v="56"/>
    <x v="1"/>
    <s v="Low (&lt;3k)"/>
    <s v="Short (1-3 days)"/>
    <s v="Needs Attention"/>
  </r>
  <r>
    <s v="P1179"/>
    <x v="0"/>
    <x v="2"/>
    <x v="7"/>
    <x v="0"/>
    <x v="58"/>
    <x v="175"/>
    <x v="11"/>
    <n v="71"/>
    <x v="2"/>
    <s v="Medium (3k-8k)"/>
    <s v="Long (8+ days)"/>
    <s v="Good"/>
  </r>
  <r>
    <s v="P1180"/>
    <x v="0"/>
    <x v="0"/>
    <x v="8"/>
    <x v="1"/>
    <x v="42"/>
    <x v="176"/>
    <x v="12"/>
    <n v="96"/>
    <x v="2"/>
    <s v="High (&gt;8k)"/>
    <s v="Long (8+ days)"/>
    <s v="Excellent"/>
  </r>
  <r>
    <s v="P1181"/>
    <x v="1"/>
    <x v="2"/>
    <x v="1"/>
    <x v="1"/>
    <x v="56"/>
    <x v="177"/>
    <x v="11"/>
    <n v="63"/>
    <x v="4"/>
    <s v="Medium (3k-8k)"/>
    <s v="Long (8+ days)"/>
    <s v="Needs Attention"/>
  </r>
  <r>
    <s v="P1182"/>
    <x v="3"/>
    <x v="1"/>
    <x v="9"/>
    <x v="0"/>
    <x v="72"/>
    <x v="178"/>
    <x v="4"/>
    <n v="73"/>
    <x v="3"/>
    <s v="Low (&lt;3k)"/>
    <s v="Short (1-3 days)"/>
    <s v="Good"/>
  </r>
  <r>
    <s v="P1183"/>
    <x v="1"/>
    <x v="2"/>
    <x v="1"/>
    <x v="1"/>
    <x v="24"/>
    <x v="179"/>
    <x v="11"/>
    <n v="51"/>
    <x v="3"/>
    <s v="Medium (3k-8k)"/>
    <s v="Long (8+ days)"/>
    <s v="Needs Attention"/>
  </r>
  <r>
    <s v="P1184"/>
    <x v="2"/>
    <x v="2"/>
    <x v="0"/>
    <x v="1"/>
    <x v="37"/>
    <x v="180"/>
    <x v="0"/>
    <n v="72"/>
    <x v="2"/>
    <s v="Medium (3k-8k)"/>
    <s v="Medium (4-7 days)"/>
    <s v="Good"/>
  </r>
  <r>
    <s v="P1185"/>
    <x v="1"/>
    <x v="3"/>
    <x v="7"/>
    <x v="0"/>
    <x v="44"/>
    <x v="181"/>
    <x v="6"/>
    <n v="97"/>
    <x v="3"/>
    <s v="Low (&lt;3k)"/>
    <s v="Short (1-3 days)"/>
    <s v="Excellent"/>
  </r>
  <r>
    <s v="P1186"/>
    <x v="0"/>
    <x v="0"/>
    <x v="5"/>
    <x v="0"/>
    <x v="22"/>
    <x v="182"/>
    <x v="12"/>
    <n v="79"/>
    <x v="0"/>
    <s v="High (&gt;8k)"/>
    <s v="Long (8+ days)"/>
    <s v="Good"/>
  </r>
  <r>
    <s v="P1187"/>
    <x v="5"/>
    <x v="3"/>
    <x v="4"/>
    <x v="1"/>
    <x v="59"/>
    <x v="183"/>
    <x v="3"/>
    <n v="59"/>
    <x v="3"/>
    <s v="Low (&lt;3k)"/>
    <s v="Short (1-3 days)"/>
    <s v="Needs Attention"/>
  </r>
  <r>
    <s v="P1188"/>
    <x v="3"/>
    <x v="0"/>
    <x v="5"/>
    <x v="1"/>
    <x v="32"/>
    <x v="184"/>
    <x v="14"/>
    <n v="88"/>
    <x v="2"/>
    <s v="High (&gt;8k)"/>
    <s v="Long (8+ days)"/>
    <s v="Excellent"/>
  </r>
  <r>
    <s v="P1189"/>
    <x v="4"/>
    <x v="1"/>
    <x v="3"/>
    <x v="1"/>
    <x v="40"/>
    <x v="185"/>
    <x v="6"/>
    <n v="77"/>
    <x v="2"/>
    <s v="Low (&lt;3k)"/>
    <s v="Short (1-3 days)"/>
    <s v="Good"/>
  </r>
  <r>
    <s v="P1190"/>
    <x v="1"/>
    <x v="2"/>
    <x v="1"/>
    <x v="1"/>
    <x v="42"/>
    <x v="186"/>
    <x v="6"/>
    <n v="64"/>
    <x v="2"/>
    <s v="Medium (3k-8k)"/>
    <s v="Short (1-3 days)"/>
    <s v="Needs Attention"/>
  </r>
  <r>
    <s v="P1191"/>
    <x v="4"/>
    <x v="0"/>
    <x v="0"/>
    <x v="1"/>
    <x v="22"/>
    <x v="187"/>
    <x v="0"/>
    <n v="98"/>
    <x v="0"/>
    <s v="High (&gt;8k)"/>
    <s v="Medium (4-7 days)"/>
    <s v="Excellent"/>
  </r>
  <r>
    <s v="P1192"/>
    <x v="5"/>
    <x v="2"/>
    <x v="4"/>
    <x v="1"/>
    <x v="73"/>
    <x v="188"/>
    <x v="8"/>
    <n v="58"/>
    <x v="2"/>
    <s v="Medium (3k-8k)"/>
    <s v="Medium (4-7 days)"/>
    <s v="Needs Attention"/>
  </r>
  <r>
    <s v="P1193"/>
    <x v="4"/>
    <x v="3"/>
    <x v="2"/>
    <x v="0"/>
    <x v="42"/>
    <x v="189"/>
    <x v="3"/>
    <n v="75"/>
    <x v="2"/>
    <s v="Medium (3k-8k)"/>
    <s v="Short (1-3 days)"/>
    <s v="Good"/>
  </r>
  <r>
    <s v="P1194"/>
    <x v="6"/>
    <x v="0"/>
    <x v="8"/>
    <x v="1"/>
    <x v="30"/>
    <x v="190"/>
    <x v="11"/>
    <n v="86"/>
    <x v="1"/>
    <s v="High (&gt;8k)"/>
    <s v="Long (8+ days)"/>
    <s v="Excellent"/>
  </r>
  <r>
    <s v="P1195"/>
    <x v="4"/>
    <x v="1"/>
    <x v="8"/>
    <x v="1"/>
    <x v="44"/>
    <x v="191"/>
    <x v="6"/>
    <n v="60"/>
    <x v="3"/>
    <s v="Low (&lt;3k)"/>
    <s v="Short (1-3 days)"/>
    <s v="Needs Attention"/>
  </r>
  <r>
    <s v="P1196"/>
    <x v="6"/>
    <x v="1"/>
    <x v="4"/>
    <x v="1"/>
    <x v="56"/>
    <x v="192"/>
    <x v="6"/>
    <n v="87"/>
    <x v="4"/>
    <s v="Low (&lt;3k)"/>
    <s v="Short (1-3 days)"/>
    <s v="Excellent"/>
  </r>
  <r>
    <s v="P1197"/>
    <x v="4"/>
    <x v="0"/>
    <x v="8"/>
    <x v="0"/>
    <x v="4"/>
    <x v="193"/>
    <x v="11"/>
    <n v="99"/>
    <x v="3"/>
    <s v="High (&gt;8k)"/>
    <s v="Long (8+ days)"/>
    <s v="Excellent"/>
  </r>
  <r>
    <s v="P1198"/>
    <x v="3"/>
    <x v="0"/>
    <x v="2"/>
    <x v="0"/>
    <x v="79"/>
    <x v="194"/>
    <x v="1"/>
    <n v="99"/>
    <x v="2"/>
    <s v="High (&gt;8k)"/>
    <s v="Long (8+ days)"/>
    <s v="Excellent"/>
  </r>
  <r>
    <s v="P1199"/>
    <x v="5"/>
    <x v="2"/>
    <x v="7"/>
    <x v="1"/>
    <x v="68"/>
    <x v="195"/>
    <x v="7"/>
    <n v="61"/>
    <x v="4"/>
    <s v="Medium (3k-8k)"/>
    <s v="Medium (4-7 days)"/>
    <s v="Needs Attention"/>
  </r>
  <r>
    <s v="P1200"/>
    <x v="2"/>
    <x v="3"/>
    <x v="5"/>
    <x v="1"/>
    <x v="6"/>
    <x v="196"/>
    <x v="8"/>
    <n v="98"/>
    <x v="2"/>
    <s v="Medium (3k-8k)"/>
    <s v="Medium (4-7 days)"/>
    <s v="Excellent"/>
  </r>
  <r>
    <s v="P1201"/>
    <x v="2"/>
    <x v="1"/>
    <x v="1"/>
    <x v="0"/>
    <x v="29"/>
    <x v="197"/>
    <x v="4"/>
    <n v="70"/>
    <x v="2"/>
    <s v="Low (&lt;3k)"/>
    <s v="Short (1-3 days)"/>
    <s v="Good"/>
  </r>
  <r>
    <s v="P1202"/>
    <x v="3"/>
    <x v="1"/>
    <x v="5"/>
    <x v="1"/>
    <x v="6"/>
    <x v="198"/>
    <x v="6"/>
    <n v="87"/>
    <x v="2"/>
    <s v="Low (&lt;3k)"/>
    <s v="Short (1-3 days)"/>
    <s v="Excellent"/>
  </r>
  <r>
    <s v="P1203"/>
    <x v="1"/>
    <x v="2"/>
    <x v="2"/>
    <x v="1"/>
    <x v="15"/>
    <x v="199"/>
    <x v="6"/>
    <n v="53"/>
    <x v="2"/>
    <s v="Medium (3k-8k)"/>
    <s v="Short (1-3 days)"/>
    <s v="Needs Attention"/>
  </r>
  <r>
    <s v="P1204"/>
    <x v="5"/>
    <x v="2"/>
    <x v="5"/>
    <x v="0"/>
    <x v="80"/>
    <x v="200"/>
    <x v="11"/>
    <n v="74"/>
    <x v="1"/>
    <s v="Medium (3k-8k)"/>
    <s v="Long (8+ days)"/>
    <s v="Good"/>
  </r>
  <r>
    <s v="P1205"/>
    <x v="4"/>
    <x v="0"/>
    <x v="6"/>
    <x v="0"/>
    <x v="46"/>
    <x v="201"/>
    <x v="1"/>
    <n v="70"/>
    <x v="2"/>
    <s v="High (&gt;8k)"/>
    <s v="Long (8+ days)"/>
    <s v="Good"/>
  </r>
  <r>
    <s v="P1206"/>
    <x v="2"/>
    <x v="1"/>
    <x v="2"/>
    <x v="1"/>
    <x v="28"/>
    <x v="202"/>
    <x v="3"/>
    <n v="71"/>
    <x v="1"/>
    <s v="Low (&lt;3k)"/>
    <s v="Short (1-3 days)"/>
    <s v="Good"/>
  </r>
  <r>
    <s v="P1207"/>
    <x v="0"/>
    <x v="0"/>
    <x v="2"/>
    <x v="0"/>
    <x v="5"/>
    <x v="203"/>
    <x v="14"/>
    <n v="78"/>
    <x v="1"/>
    <s v="High (&gt;8k)"/>
    <s v="Long (8+ days)"/>
    <s v="Good"/>
  </r>
  <r>
    <s v="P1208"/>
    <x v="2"/>
    <x v="3"/>
    <x v="4"/>
    <x v="1"/>
    <x v="33"/>
    <x v="204"/>
    <x v="8"/>
    <n v="99"/>
    <x v="3"/>
    <s v="Medium (3k-8k)"/>
    <s v="Medium (4-7 days)"/>
    <s v="Excellent"/>
  </r>
  <r>
    <s v="P1209"/>
    <x v="5"/>
    <x v="0"/>
    <x v="4"/>
    <x v="1"/>
    <x v="65"/>
    <x v="205"/>
    <x v="9"/>
    <n v="74"/>
    <x v="4"/>
    <s v="High (&gt;8k)"/>
    <s v="Long (8+ days)"/>
    <s v="Good"/>
  </r>
  <r>
    <s v="P1210"/>
    <x v="5"/>
    <x v="2"/>
    <x v="1"/>
    <x v="0"/>
    <x v="81"/>
    <x v="206"/>
    <x v="8"/>
    <n v="72"/>
    <x v="3"/>
    <s v="Low (&lt;3k)"/>
    <s v="Medium (4-7 days)"/>
    <s v="Good"/>
  </r>
  <r>
    <s v="P1211"/>
    <x v="5"/>
    <x v="1"/>
    <x v="7"/>
    <x v="0"/>
    <x v="47"/>
    <x v="207"/>
    <x v="4"/>
    <n v="74"/>
    <x v="1"/>
    <s v="Low (&lt;3k)"/>
    <s v="Short (1-3 days)"/>
    <s v="Good"/>
  </r>
  <r>
    <s v="P1212"/>
    <x v="0"/>
    <x v="2"/>
    <x v="7"/>
    <x v="0"/>
    <x v="63"/>
    <x v="208"/>
    <x v="4"/>
    <n v="91"/>
    <x v="2"/>
    <s v="Medium (3k-8k)"/>
    <s v="Short (1-3 days)"/>
    <s v="Excellent"/>
  </r>
  <r>
    <s v="P1213"/>
    <x v="0"/>
    <x v="1"/>
    <x v="2"/>
    <x v="1"/>
    <x v="8"/>
    <x v="209"/>
    <x v="3"/>
    <n v="63"/>
    <x v="3"/>
    <s v="Low (&lt;3k)"/>
    <s v="Short (1-3 days)"/>
    <s v="Needs Attention"/>
  </r>
  <r>
    <s v="P1214"/>
    <x v="5"/>
    <x v="1"/>
    <x v="9"/>
    <x v="1"/>
    <x v="51"/>
    <x v="210"/>
    <x v="3"/>
    <n v="68"/>
    <x v="4"/>
    <s v="Low (&lt;3k)"/>
    <s v="Short (1-3 days)"/>
    <s v="Needs Attention"/>
  </r>
  <r>
    <s v="P1215"/>
    <x v="6"/>
    <x v="0"/>
    <x v="2"/>
    <x v="0"/>
    <x v="79"/>
    <x v="211"/>
    <x v="9"/>
    <n v="71"/>
    <x v="2"/>
    <s v="Medium (3k-8k)"/>
    <s v="Long (8+ days)"/>
    <s v="Good"/>
  </r>
  <r>
    <s v="P1216"/>
    <x v="6"/>
    <x v="3"/>
    <x v="1"/>
    <x v="1"/>
    <x v="14"/>
    <x v="212"/>
    <x v="7"/>
    <n v="60"/>
    <x v="0"/>
    <s v="Low (&lt;3k)"/>
    <s v="Medium (4-7 days)"/>
    <s v="Needs Attention"/>
  </r>
  <r>
    <s v="P1217"/>
    <x v="0"/>
    <x v="1"/>
    <x v="0"/>
    <x v="1"/>
    <x v="76"/>
    <x v="213"/>
    <x v="3"/>
    <n v="78"/>
    <x v="2"/>
    <s v="Low (&lt;3k)"/>
    <s v="Short (1-3 days)"/>
    <s v="Good"/>
  </r>
  <r>
    <s v="P1218"/>
    <x v="2"/>
    <x v="2"/>
    <x v="6"/>
    <x v="1"/>
    <x v="26"/>
    <x v="214"/>
    <x v="5"/>
    <n v="62"/>
    <x v="0"/>
    <s v="Medium (3k-8k)"/>
    <s v="Long (8+ days)"/>
    <s v="Needs Attention"/>
  </r>
  <r>
    <s v="P1219"/>
    <x v="5"/>
    <x v="1"/>
    <x v="6"/>
    <x v="0"/>
    <x v="54"/>
    <x v="215"/>
    <x v="4"/>
    <n v="76"/>
    <x v="3"/>
    <s v="Low (&lt;3k)"/>
    <s v="Short (1-3 days)"/>
    <s v="Good"/>
  </r>
  <r>
    <s v="P1220"/>
    <x v="3"/>
    <x v="3"/>
    <x v="1"/>
    <x v="1"/>
    <x v="34"/>
    <x v="216"/>
    <x v="8"/>
    <n v="73"/>
    <x v="0"/>
    <s v="Low (&lt;3k)"/>
    <s v="Medium (4-7 days)"/>
    <s v="Good"/>
  </r>
  <r>
    <s v="P1221"/>
    <x v="2"/>
    <x v="0"/>
    <x v="2"/>
    <x v="0"/>
    <x v="33"/>
    <x v="217"/>
    <x v="0"/>
    <n v="67"/>
    <x v="3"/>
    <s v="Medium (3k-8k)"/>
    <s v="Medium (4-7 days)"/>
    <s v="Needs Attention"/>
  </r>
  <r>
    <s v="P1222"/>
    <x v="4"/>
    <x v="3"/>
    <x v="8"/>
    <x v="1"/>
    <x v="13"/>
    <x v="218"/>
    <x v="4"/>
    <n v="51"/>
    <x v="0"/>
    <s v="Medium (3k-8k)"/>
    <s v="Short (1-3 days)"/>
    <s v="Needs Attention"/>
  </r>
  <r>
    <s v="P1223"/>
    <x v="4"/>
    <x v="0"/>
    <x v="8"/>
    <x v="0"/>
    <x v="26"/>
    <x v="219"/>
    <x v="10"/>
    <n v="73"/>
    <x v="0"/>
    <s v="High (&gt;8k)"/>
    <s v="Medium (4-7 days)"/>
    <s v="Good"/>
  </r>
  <r>
    <s v="P1224"/>
    <x v="3"/>
    <x v="0"/>
    <x v="4"/>
    <x v="0"/>
    <x v="2"/>
    <x v="220"/>
    <x v="0"/>
    <n v="58"/>
    <x v="2"/>
    <s v="High (&gt;8k)"/>
    <s v="Medium (4-7 days)"/>
    <s v="Needs Attention"/>
  </r>
  <r>
    <s v="P1225"/>
    <x v="1"/>
    <x v="2"/>
    <x v="6"/>
    <x v="0"/>
    <x v="51"/>
    <x v="221"/>
    <x v="5"/>
    <n v="78"/>
    <x v="4"/>
    <s v="Medium (3k-8k)"/>
    <s v="Long (8+ days)"/>
    <s v="Good"/>
  </r>
  <r>
    <s v="P1226"/>
    <x v="2"/>
    <x v="0"/>
    <x v="5"/>
    <x v="1"/>
    <x v="22"/>
    <x v="222"/>
    <x v="0"/>
    <n v="85"/>
    <x v="0"/>
    <s v="High (&gt;8k)"/>
    <s v="Medium (4-7 days)"/>
    <s v="Excellent"/>
  </r>
  <r>
    <s v="P1227"/>
    <x v="0"/>
    <x v="1"/>
    <x v="5"/>
    <x v="0"/>
    <x v="26"/>
    <x v="223"/>
    <x v="3"/>
    <n v="53"/>
    <x v="0"/>
    <s v="Low (&lt;3k)"/>
    <s v="Short (1-3 days)"/>
    <s v="Needs Attention"/>
  </r>
  <r>
    <s v="P1228"/>
    <x v="3"/>
    <x v="1"/>
    <x v="1"/>
    <x v="1"/>
    <x v="53"/>
    <x v="224"/>
    <x v="6"/>
    <n v="88"/>
    <x v="4"/>
    <s v="Low (&lt;3k)"/>
    <s v="Short (1-3 days)"/>
    <s v="Excellent"/>
  </r>
  <r>
    <s v="P1229"/>
    <x v="2"/>
    <x v="0"/>
    <x v="2"/>
    <x v="0"/>
    <x v="68"/>
    <x v="225"/>
    <x v="12"/>
    <n v="50"/>
    <x v="4"/>
    <s v="High (&gt;8k)"/>
    <s v="Long (8+ days)"/>
    <s v="Needs Attention"/>
  </r>
  <r>
    <s v="P1230"/>
    <x v="2"/>
    <x v="2"/>
    <x v="9"/>
    <x v="0"/>
    <x v="82"/>
    <x v="226"/>
    <x v="4"/>
    <n v="83"/>
    <x v="0"/>
    <s v="Medium (3k-8k)"/>
    <s v="Short (1-3 days)"/>
    <s v="Good"/>
  </r>
  <r>
    <s v="P1231"/>
    <x v="5"/>
    <x v="0"/>
    <x v="2"/>
    <x v="0"/>
    <x v="17"/>
    <x v="227"/>
    <x v="7"/>
    <n v="74"/>
    <x v="2"/>
    <s v="High (&gt;8k)"/>
    <s v="Medium (4-7 days)"/>
    <s v="Good"/>
  </r>
  <r>
    <s v="P1232"/>
    <x v="6"/>
    <x v="1"/>
    <x v="0"/>
    <x v="0"/>
    <x v="36"/>
    <x v="228"/>
    <x v="4"/>
    <n v="51"/>
    <x v="3"/>
    <s v="Low (&lt;3k)"/>
    <s v="Short (1-3 days)"/>
    <s v="Needs Attention"/>
  </r>
  <r>
    <s v="P1233"/>
    <x v="5"/>
    <x v="0"/>
    <x v="4"/>
    <x v="1"/>
    <x v="32"/>
    <x v="229"/>
    <x v="10"/>
    <n v="99"/>
    <x v="2"/>
    <s v="High (&gt;8k)"/>
    <s v="Medium (4-7 days)"/>
    <s v="Excellent"/>
  </r>
  <r>
    <s v="P1234"/>
    <x v="2"/>
    <x v="2"/>
    <x v="7"/>
    <x v="1"/>
    <x v="83"/>
    <x v="230"/>
    <x v="8"/>
    <n v="99"/>
    <x v="2"/>
    <s v="Medium (3k-8k)"/>
    <s v="Medium (4-7 days)"/>
    <s v="Excellent"/>
  </r>
  <r>
    <s v="P1235"/>
    <x v="0"/>
    <x v="1"/>
    <x v="6"/>
    <x v="0"/>
    <x v="51"/>
    <x v="231"/>
    <x v="4"/>
    <n v="99"/>
    <x v="4"/>
    <s v="Low (&lt;3k)"/>
    <s v="Short (1-3 days)"/>
    <s v="Excellent"/>
  </r>
  <r>
    <s v="P1236"/>
    <x v="4"/>
    <x v="0"/>
    <x v="3"/>
    <x v="1"/>
    <x v="84"/>
    <x v="232"/>
    <x v="7"/>
    <n v="70"/>
    <x v="0"/>
    <s v="High (&gt;8k)"/>
    <s v="Medium (4-7 days)"/>
    <s v="Good"/>
  </r>
  <r>
    <s v="P1237"/>
    <x v="5"/>
    <x v="1"/>
    <x v="2"/>
    <x v="1"/>
    <x v="11"/>
    <x v="233"/>
    <x v="4"/>
    <n v="62"/>
    <x v="1"/>
    <s v="Low (&lt;3k)"/>
    <s v="Short (1-3 days)"/>
    <s v="Needs Attention"/>
  </r>
  <r>
    <s v="P1238"/>
    <x v="5"/>
    <x v="2"/>
    <x v="0"/>
    <x v="0"/>
    <x v="81"/>
    <x v="234"/>
    <x v="4"/>
    <n v="73"/>
    <x v="3"/>
    <s v="Medium (3k-8k)"/>
    <s v="Short (1-3 days)"/>
    <s v="Good"/>
  </r>
  <r>
    <s v="P1239"/>
    <x v="4"/>
    <x v="1"/>
    <x v="6"/>
    <x v="0"/>
    <x v="48"/>
    <x v="235"/>
    <x v="3"/>
    <n v="81"/>
    <x v="3"/>
    <s v="Low (&lt;3k)"/>
    <s v="Short (1-3 days)"/>
    <s v="Good"/>
  </r>
  <r>
    <s v="P1240"/>
    <x v="0"/>
    <x v="1"/>
    <x v="4"/>
    <x v="0"/>
    <x v="57"/>
    <x v="123"/>
    <x v="3"/>
    <n v="96"/>
    <x v="2"/>
    <s v="Low (&lt;3k)"/>
    <s v="Short (1-3 days)"/>
    <s v="Excellent"/>
  </r>
  <r>
    <s v="P1241"/>
    <x v="4"/>
    <x v="0"/>
    <x v="8"/>
    <x v="0"/>
    <x v="82"/>
    <x v="236"/>
    <x v="5"/>
    <n v="70"/>
    <x v="0"/>
    <s v="High (&gt;8k)"/>
    <s v="Long (8+ days)"/>
    <s v="Good"/>
  </r>
  <r>
    <s v="P1242"/>
    <x v="1"/>
    <x v="0"/>
    <x v="4"/>
    <x v="0"/>
    <x v="85"/>
    <x v="237"/>
    <x v="13"/>
    <n v="95"/>
    <x v="3"/>
    <s v="High (&gt;8k)"/>
    <s v="Long (8+ days)"/>
    <s v="Excellent"/>
  </r>
  <r>
    <s v="P1243"/>
    <x v="4"/>
    <x v="3"/>
    <x v="6"/>
    <x v="1"/>
    <x v="5"/>
    <x v="238"/>
    <x v="7"/>
    <n v="77"/>
    <x v="1"/>
    <s v="Medium (3k-8k)"/>
    <s v="Medium (4-7 days)"/>
    <s v="Good"/>
  </r>
  <r>
    <s v="P1244"/>
    <x v="5"/>
    <x v="0"/>
    <x v="5"/>
    <x v="0"/>
    <x v="44"/>
    <x v="239"/>
    <x v="2"/>
    <n v="97"/>
    <x v="3"/>
    <s v="High (&gt;8k)"/>
    <s v="Long (8+ days)"/>
    <s v="Excellent"/>
  </r>
  <r>
    <s v="P1245"/>
    <x v="0"/>
    <x v="3"/>
    <x v="0"/>
    <x v="1"/>
    <x v="45"/>
    <x v="240"/>
    <x v="3"/>
    <n v="58"/>
    <x v="2"/>
    <s v="Medium (3k-8k)"/>
    <s v="Short (1-3 days)"/>
    <s v="Needs Attention"/>
  </r>
  <r>
    <s v="P1246"/>
    <x v="1"/>
    <x v="3"/>
    <x v="4"/>
    <x v="1"/>
    <x v="69"/>
    <x v="241"/>
    <x v="7"/>
    <n v="59"/>
    <x v="2"/>
    <s v="Low (&lt;3k)"/>
    <s v="Medium (4-7 days)"/>
    <s v="Needs Attention"/>
  </r>
  <r>
    <s v="P1247"/>
    <x v="0"/>
    <x v="1"/>
    <x v="4"/>
    <x v="1"/>
    <x v="30"/>
    <x v="242"/>
    <x v="3"/>
    <n v="83"/>
    <x v="1"/>
    <s v="Low (&lt;3k)"/>
    <s v="Short (1-3 days)"/>
    <s v="Good"/>
  </r>
  <r>
    <s v="P1248"/>
    <x v="5"/>
    <x v="1"/>
    <x v="4"/>
    <x v="0"/>
    <x v="0"/>
    <x v="243"/>
    <x v="3"/>
    <n v="97"/>
    <x v="0"/>
    <s v="Low (&lt;3k)"/>
    <s v="Short (1-3 days)"/>
    <s v="Excellent"/>
  </r>
  <r>
    <s v="P1249"/>
    <x v="3"/>
    <x v="1"/>
    <x v="2"/>
    <x v="1"/>
    <x v="27"/>
    <x v="244"/>
    <x v="6"/>
    <n v="99"/>
    <x v="2"/>
    <s v="Low (&lt;3k)"/>
    <s v="Short (1-3 days)"/>
    <s v="Excellent"/>
  </r>
  <r>
    <s v="P1250"/>
    <x v="5"/>
    <x v="1"/>
    <x v="9"/>
    <x v="2"/>
    <x v="33"/>
    <x v="245"/>
    <x v="6"/>
    <n v="62"/>
    <x v="3"/>
    <s v="Low (&lt;3k)"/>
    <s v="Short (1-3 days)"/>
    <s v="Needs Attention"/>
  </r>
  <r>
    <s v="P1251"/>
    <x v="1"/>
    <x v="3"/>
    <x v="5"/>
    <x v="1"/>
    <x v="31"/>
    <x v="246"/>
    <x v="4"/>
    <n v="92"/>
    <x v="3"/>
    <s v="Low (&lt;3k)"/>
    <s v="Short (1-3 days)"/>
    <s v="Excellent"/>
  </r>
  <r>
    <s v="P1252"/>
    <x v="5"/>
    <x v="0"/>
    <x v="2"/>
    <x v="0"/>
    <x v="55"/>
    <x v="247"/>
    <x v="0"/>
    <n v="95"/>
    <x v="3"/>
    <s v="High (&gt;8k)"/>
    <s v="Medium (4-7 days)"/>
    <s v="Excellent"/>
  </r>
  <r>
    <s v="P1253"/>
    <x v="0"/>
    <x v="3"/>
    <x v="4"/>
    <x v="0"/>
    <x v="64"/>
    <x v="248"/>
    <x v="6"/>
    <n v="65"/>
    <x v="4"/>
    <s v="Low (&lt;3k)"/>
    <s v="Short (1-3 days)"/>
    <s v="Needs Attention"/>
  </r>
  <r>
    <s v="P1254"/>
    <x v="6"/>
    <x v="1"/>
    <x v="0"/>
    <x v="1"/>
    <x v="46"/>
    <x v="249"/>
    <x v="6"/>
    <n v="85"/>
    <x v="2"/>
    <s v="Low (&lt;3k)"/>
    <s v="Short (1-3 days)"/>
    <s v="Excellent"/>
  </r>
  <r>
    <s v="P1255"/>
    <x v="3"/>
    <x v="0"/>
    <x v="5"/>
    <x v="1"/>
    <x v="61"/>
    <x v="250"/>
    <x v="12"/>
    <n v="99"/>
    <x v="2"/>
    <s v="High (&gt;8k)"/>
    <s v="Long (8+ days)"/>
    <s v="Excellent"/>
  </r>
  <r>
    <s v="P1256"/>
    <x v="4"/>
    <x v="0"/>
    <x v="7"/>
    <x v="0"/>
    <x v="86"/>
    <x v="251"/>
    <x v="14"/>
    <n v="79"/>
    <x v="2"/>
    <s v="Medium (3k-8k)"/>
    <s v="Long (8+ days)"/>
    <s v="Good"/>
  </r>
  <r>
    <s v="P1257"/>
    <x v="0"/>
    <x v="2"/>
    <x v="7"/>
    <x v="0"/>
    <x v="25"/>
    <x v="252"/>
    <x v="8"/>
    <n v="99"/>
    <x v="2"/>
    <s v="Medium (3k-8k)"/>
    <s v="Medium (4-7 days)"/>
    <s v="Excellent"/>
  </r>
  <r>
    <s v="P1258"/>
    <x v="3"/>
    <x v="1"/>
    <x v="2"/>
    <x v="0"/>
    <x v="28"/>
    <x v="253"/>
    <x v="3"/>
    <n v="83"/>
    <x v="1"/>
    <s v="Low (&lt;3k)"/>
    <s v="Short (1-3 days)"/>
    <s v="Good"/>
  </r>
  <r>
    <s v="P1259"/>
    <x v="3"/>
    <x v="2"/>
    <x v="7"/>
    <x v="1"/>
    <x v="13"/>
    <x v="254"/>
    <x v="11"/>
    <n v="68"/>
    <x v="0"/>
    <s v="Medium (3k-8k)"/>
    <s v="Long (8+ days)"/>
    <s v="Needs Attention"/>
  </r>
  <r>
    <s v="P1260"/>
    <x v="6"/>
    <x v="0"/>
    <x v="3"/>
    <x v="1"/>
    <x v="25"/>
    <x v="255"/>
    <x v="0"/>
    <n v="90"/>
    <x v="2"/>
    <s v="High (&gt;8k)"/>
    <s v="Medium (4-7 days)"/>
    <s v="Excellent"/>
  </r>
  <r>
    <s v="P1261"/>
    <x v="5"/>
    <x v="0"/>
    <x v="2"/>
    <x v="0"/>
    <x v="58"/>
    <x v="256"/>
    <x v="0"/>
    <n v="60"/>
    <x v="2"/>
    <s v="High (&gt;8k)"/>
    <s v="Medium (4-7 days)"/>
    <s v="Needs Attention"/>
  </r>
  <r>
    <s v="P1262"/>
    <x v="0"/>
    <x v="2"/>
    <x v="1"/>
    <x v="1"/>
    <x v="1"/>
    <x v="257"/>
    <x v="6"/>
    <n v="91"/>
    <x v="1"/>
    <s v="Low (&lt;3k)"/>
    <s v="Short (1-3 days)"/>
    <s v="Excellent"/>
  </r>
  <r>
    <s v="P1263"/>
    <x v="6"/>
    <x v="2"/>
    <x v="9"/>
    <x v="0"/>
    <x v="43"/>
    <x v="258"/>
    <x v="6"/>
    <n v="81"/>
    <x v="3"/>
    <s v="Medium (3k-8k)"/>
    <s v="Short (1-3 days)"/>
    <s v="Good"/>
  </r>
  <r>
    <s v="P1264"/>
    <x v="0"/>
    <x v="2"/>
    <x v="3"/>
    <x v="1"/>
    <x v="63"/>
    <x v="259"/>
    <x v="10"/>
    <n v="79"/>
    <x v="2"/>
    <s v="Medium (3k-8k)"/>
    <s v="Medium (4-7 days)"/>
    <s v="Good"/>
  </r>
  <r>
    <s v="P1265"/>
    <x v="1"/>
    <x v="0"/>
    <x v="7"/>
    <x v="1"/>
    <x v="61"/>
    <x v="260"/>
    <x v="1"/>
    <n v="71"/>
    <x v="2"/>
    <s v="High (&gt;8k)"/>
    <s v="Long (8+ days)"/>
    <s v="Good"/>
  </r>
  <r>
    <s v="P1266"/>
    <x v="2"/>
    <x v="3"/>
    <x v="4"/>
    <x v="0"/>
    <x v="12"/>
    <x v="261"/>
    <x v="8"/>
    <n v="58"/>
    <x v="3"/>
    <s v="Medium (3k-8k)"/>
    <s v="Medium (4-7 days)"/>
    <s v="Needs Attention"/>
  </r>
  <r>
    <s v="P1267"/>
    <x v="6"/>
    <x v="2"/>
    <x v="2"/>
    <x v="0"/>
    <x v="12"/>
    <x v="262"/>
    <x v="5"/>
    <n v="57"/>
    <x v="3"/>
    <s v="Low (&lt;3k)"/>
    <s v="Long (8+ days)"/>
    <s v="Needs Attention"/>
  </r>
  <r>
    <s v="P1268"/>
    <x v="5"/>
    <x v="1"/>
    <x v="9"/>
    <x v="1"/>
    <x v="70"/>
    <x v="263"/>
    <x v="6"/>
    <n v="89"/>
    <x v="1"/>
    <s v="Low (&lt;3k)"/>
    <s v="Short (1-3 days)"/>
    <s v="Excellent"/>
  </r>
  <r>
    <s v="P1269"/>
    <x v="4"/>
    <x v="3"/>
    <x v="7"/>
    <x v="0"/>
    <x v="46"/>
    <x v="264"/>
    <x v="6"/>
    <n v="98"/>
    <x v="2"/>
    <s v="Medium (3k-8k)"/>
    <s v="Short (1-3 days)"/>
    <s v="Excellent"/>
  </r>
  <r>
    <s v="P1270"/>
    <x v="3"/>
    <x v="1"/>
    <x v="2"/>
    <x v="1"/>
    <x v="85"/>
    <x v="265"/>
    <x v="3"/>
    <n v="55"/>
    <x v="3"/>
    <s v="Low (&lt;3k)"/>
    <s v="Short (1-3 days)"/>
    <s v="Needs Attention"/>
  </r>
  <r>
    <s v="P1271"/>
    <x v="4"/>
    <x v="1"/>
    <x v="9"/>
    <x v="1"/>
    <x v="49"/>
    <x v="266"/>
    <x v="3"/>
    <n v="68"/>
    <x v="3"/>
    <s v="Low (&lt;3k)"/>
    <s v="Short (1-3 days)"/>
    <s v="Needs Attention"/>
  </r>
  <r>
    <s v="P1272"/>
    <x v="4"/>
    <x v="1"/>
    <x v="3"/>
    <x v="0"/>
    <x v="56"/>
    <x v="267"/>
    <x v="3"/>
    <n v="66"/>
    <x v="4"/>
    <s v="Low (&lt;3k)"/>
    <s v="Short (1-3 days)"/>
    <s v="Needs Attention"/>
  </r>
  <r>
    <s v="P1273"/>
    <x v="0"/>
    <x v="2"/>
    <x v="8"/>
    <x v="1"/>
    <x v="44"/>
    <x v="268"/>
    <x v="11"/>
    <n v="62"/>
    <x v="3"/>
    <s v="Low (&lt;3k)"/>
    <s v="Long (8+ days)"/>
    <s v="Needs Attention"/>
  </r>
  <r>
    <s v="P1274"/>
    <x v="5"/>
    <x v="2"/>
    <x v="5"/>
    <x v="1"/>
    <x v="20"/>
    <x v="269"/>
    <x v="10"/>
    <n v="89"/>
    <x v="3"/>
    <s v="Medium (3k-8k)"/>
    <s v="Medium (4-7 days)"/>
    <s v="Excellent"/>
  </r>
  <r>
    <s v="P1275"/>
    <x v="0"/>
    <x v="0"/>
    <x v="7"/>
    <x v="0"/>
    <x v="75"/>
    <x v="270"/>
    <x v="11"/>
    <n v="85"/>
    <x v="3"/>
    <s v="High (&gt;8k)"/>
    <s v="Long (8+ days)"/>
    <s v="Excellent"/>
  </r>
  <r>
    <s v="P1276"/>
    <x v="5"/>
    <x v="3"/>
    <x v="9"/>
    <x v="0"/>
    <x v="44"/>
    <x v="271"/>
    <x v="3"/>
    <n v="52"/>
    <x v="3"/>
    <s v="Medium (3k-8k)"/>
    <s v="Short (1-3 days)"/>
    <s v="Needs Attention"/>
  </r>
  <r>
    <s v="P1277"/>
    <x v="1"/>
    <x v="3"/>
    <x v="4"/>
    <x v="0"/>
    <x v="57"/>
    <x v="272"/>
    <x v="6"/>
    <n v="88"/>
    <x v="2"/>
    <s v="Medium (3k-8k)"/>
    <s v="Short (1-3 days)"/>
    <s v="Excellent"/>
  </r>
  <r>
    <s v="P1278"/>
    <x v="2"/>
    <x v="3"/>
    <x v="4"/>
    <x v="0"/>
    <x v="12"/>
    <x v="273"/>
    <x v="8"/>
    <n v="89"/>
    <x v="3"/>
    <s v="Low (&lt;3k)"/>
    <s v="Medium (4-7 days)"/>
    <s v="Excellent"/>
  </r>
  <r>
    <s v="P1279"/>
    <x v="0"/>
    <x v="2"/>
    <x v="1"/>
    <x v="1"/>
    <x v="40"/>
    <x v="274"/>
    <x v="5"/>
    <n v="95"/>
    <x v="2"/>
    <s v="Medium (3k-8k)"/>
    <s v="Long (8+ days)"/>
    <s v="Excellent"/>
  </r>
  <r>
    <s v="P1280"/>
    <x v="2"/>
    <x v="2"/>
    <x v="6"/>
    <x v="0"/>
    <x v="36"/>
    <x v="275"/>
    <x v="4"/>
    <n v="76"/>
    <x v="3"/>
    <s v="Medium (3k-8k)"/>
    <s v="Short (1-3 days)"/>
    <s v="Good"/>
  </r>
  <r>
    <s v="P1281"/>
    <x v="2"/>
    <x v="2"/>
    <x v="0"/>
    <x v="0"/>
    <x v="41"/>
    <x v="276"/>
    <x v="7"/>
    <n v="96"/>
    <x v="0"/>
    <s v="Medium (3k-8k)"/>
    <s v="Medium (4-7 days)"/>
    <s v="Excellent"/>
  </r>
  <r>
    <s v="P1282"/>
    <x v="1"/>
    <x v="1"/>
    <x v="7"/>
    <x v="0"/>
    <x v="29"/>
    <x v="277"/>
    <x v="6"/>
    <n v="59"/>
    <x v="2"/>
    <s v="Low (&lt;3k)"/>
    <s v="Short (1-3 days)"/>
    <s v="Needs Attention"/>
  </r>
  <r>
    <s v="P1283"/>
    <x v="6"/>
    <x v="3"/>
    <x v="0"/>
    <x v="0"/>
    <x v="37"/>
    <x v="278"/>
    <x v="6"/>
    <n v="51"/>
    <x v="2"/>
    <s v="Low (&lt;3k)"/>
    <s v="Short (1-3 days)"/>
    <s v="Needs Attention"/>
  </r>
  <r>
    <s v="P1284"/>
    <x v="4"/>
    <x v="2"/>
    <x v="8"/>
    <x v="1"/>
    <x v="19"/>
    <x v="279"/>
    <x v="1"/>
    <n v="82"/>
    <x v="2"/>
    <s v="Low (&lt;3k)"/>
    <s v="Long (8+ days)"/>
    <s v="Good"/>
  </r>
  <r>
    <s v="P1285"/>
    <x v="6"/>
    <x v="1"/>
    <x v="0"/>
    <x v="0"/>
    <x v="57"/>
    <x v="280"/>
    <x v="4"/>
    <n v="70"/>
    <x v="2"/>
    <s v="Low (&lt;3k)"/>
    <s v="Short (1-3 days)"/>
    <s v="Good"/>
  </r>
  <r>
    <s v="P1286"/>
    <x v="0"/>
    <x v="1"/>
    <x v="2"/>
    <x v="1"/>
    <x v="66"/>
    <x v="281"/>
    <x v="4"/>
    <n v="71"/>
    <x v="0"/>
    <s v="Low (&lt;3k)"/>
    <s v="Short (1-3 days)"/>
    <s v="Good"/>
  </r>
  <r>
    <s v="P1287"/>
    <x v="2"/>
    <x v="2"/>
    <x v="3"/>
    <x v="0"/>
    <x v="39"/>
    <x v="282"/>
    <x v="10"/>
    <n v="85"/>
    <x v="0"/>
    <s v="Medium (3k-8k)"/>
    <s v="Medium (4-7 days)"/>
    <s v="Excellent"/>
  </r>
  <r>
    <s v="P1288"/>
    <x v="5"/>
    <x v="3"/>
    <x v="3"/>
    <x v="0"/>
    <x v="71"/>
    <x v="283"/>
    <x v="4"/>
    <n v="80"/>
    <x v="0"/>
    <s v="Medium (3k-8k)"/>
    <s v="Short (1-3 days)"/>
    <s v="Good"/>
  </r>
  <r>
    <s v="P1289"/>
    <x v="5"/>
    <x v="2"/>
    <x v="3"/>
    <x v="1"/>
    <x v="76"/>
    <x v="284"/>
    <x v="1"/>
    <n v="75"/>
    <x v="2"/>
    <s v="Medium (3k-8k)"/>
    <s v="Long (8+ days)"/>
    <s v="Good"/>
  </r>
  <r>
    <s v="P1290"/>
    <x v="6"/>
    <x v="2"/>
    <x v="7"/>
    <x v="1"/>
    <x v="33"/>
    <x v="285"/>
    <x v="4"/>
    <n v="72"/>
    <x v="3"/>
    <s v="Medium (3k-8k)"/>
    <s v="Short (1-3 days)"/>
    <s v="Good"/>
  </r>
  <r>
    <s v="P1291"/>
    <x v="4"/>
    <x v="2"/>
    <x v="6"/>
    <x v="1"/>
    <x v="16"/>
    <x v="286"/>
    <x v="11"/>
    <n v="94"/>
    <x v="2"/>
    <s v="Medium (3k-8k)"/>
    <s v="Long (8+ days)"/>
    <s v="Excellent"/>
  </r>
  <r>
    <s v="P1292"/>
    <x v="5"/>
    <x v="3"/>
    <x v="5"/>
    <x v="0"/>
    <x v="58"/>
    <x v="287"/>
    <x v="6"/>
    <n v="53"/>
    <x v="2"/>
    <s v="Low (&lt;3k)"/>
    <s v="Short (1-3 days)"/>
    <s v="Needs Attention"/>
  </r>
  <r>
    <s v="P1293"/>
    <x v="0"/>
    <x v="3"/>
    <x v="9"/>
    <x v="1"/>
    <x v="23"/>
    <x v="288"/>
    <x v="8"/>
    <n v="56"/>
    <x v="3"/>
    <s v="Medium (3k-8k)"/>
    <s v="Medium (4-7 days)"/>
    <s v="Needs Attention"/>
  </r>
  <r>
    <s v="P1294"/>
    <x v="0"/>
    <x v="3"/>
    <x v="0"/>
    <x v="0"/>
    <x v="14"/>
    <x v="289"/>
    <x v="8"/>
    <n v="80"/>
    <x v="0"/>
    <s v="Medium (3k-8k)"/>
    <s v="Medium (4-7 days)"/>
    <s v="Good"/>
  </r>
  <r>
    <s v="P1295"/>
    <x v="0"/>
    <x v="3"/>
    <x v="3"/>
    <x v="1"/>
    <x v="86"/>
    <x v="290"/>
    <x v="3"/>
    <n v="91"/>
    <x v="2"/>
    <s v="Low (&lt;3k)"/>
    <s v="Short (1-3 days)"/>
    <s v="Excellent"/>
  </r>
  <r>
    <s v="P1296"/>
    <x v="2"/>
    <x v="3"/>
    <x v="2"/>
    <x v="0"/>
    <x v="11"/>
    <x v="291"/>
    <x v="8"/>
    <n v="61"/>
    <x v="1"/>
    <s v="Low (&lt;3k)"/>
    <s v="Medium (4-7 days)"/>
    <s v="Needs Attention"/>
  </r>
  <r>
    <s v="P1297"/>
    <x v="1"/>
    <x v="1"/>
    <x v="6"/>
    <x v="1"/>
    <x v="7"/>
    <x v="292"/>
    <x v="3"/>
    <n v="50"/>
    <x v="3"/>
    <s v="Low (&lt;3k)"/>
    <s v="Short (1-3 days)"/>
    <s v="Needs Attention"/>
  </r>
  <r>
    <s v="P1298"/>
    <x v="5"/>
    <x v="0"/>
    <x v="4"/>
    <x v="1"/>
    <x v="86"/>
    <x v="293"/>
    <x v="2"/>
    <n v="81"/>
    <x v="2"/>
    <s v="High (&gt;8k)"/>
    <s v="Long (8+ days)"/>
    <s v="Good"/>
  </r>
  <r>
    <s v="P1299"/>
    <x v="3"/>
    <x v="1"/>
    <x v="3"/>
    <x v="1"/>
    <x v="53"/>
    <x v="294"/>
    <x v="3"/>
    <n v="96"/>
    <x v="4"/>
    <s v="Low (&lt;3k)"/>
    <s v="Short (1-3 days)"/>
    <s v="Excellent"/>
  </r>
  <r>
    <s v="P1300"/>
    <x v="4"/>
    <x v="2"/>
    <x v="7"/>
    <x v="1"/>
    <x v="4"/>
    <x v="295"/>
    <x v="7"/>
    <n v="61"/>
    <x v="3"/>
    <s v="Medium (3k-8k)"/>
    <s v="Medium (4-7 days)"/>
    <s v="Needs Attention"/>
  </r>
  <r>
    <s v="P1301"/>
    <x v="2"/>
    <x v="1"/>
    <x v="8"/>
    <x v="0"/>
    <x v="80"/>
    <x v="296"/>
    <x v="4"/>
    <n v="56"/>
    <x v="1"/>
    <s v="Low (&lt;3k)"/>
    <s v="Short (1-3 days)"/>
    <s v="Needs Attention"/>
  </r>
  <r>
    <s v="P1302"/>
    <x v="3"/>
    <x v="3"/>
    <x v="6"/>
    <x v="1"/>
    <x v="0"/>
    <x v="297"/>
    <x v="4"/>
    <n v="74"/>
    <x v="0"/>
    <s v="Low (&lt;3k)"/>
    <s v="Short (1-3 days)"/>
    <s v="Good"/>
  </r>
  <r>
    <s v="P1303"/>
    <x v="3"/>
    <x v="1"/>
    <x v="3"/>
    <x v="0"/>
    <x v="55"/>
    <x v="298"/>
    <x v="4"/>
    <n v="86"/>
    <x v="3"/>
    <s v="Low (&lt;3k)"/>
    <s v="Short (1-3 days)"/>
    <s v="Excellent"/>
  </r>
  <r>
    <s v="P1304"/>
    <x v="1"/>
    <x v="2"/>
    <x v="4"/>
    <x v="0"/>
    <x v="28"/>
    <x v="299"/>
    <x v="4"/>
    <n v="79"/>
    <x v="1"/>
    <s v="Medium (3k-8k)"/>
    <s v="Short (1-3 days)"/>
    <s v="Good"/>
  </r>
  <r>
    <s v="P1305"/>
    <x v="5"/>
    <x v="3"/>
    <x v="8"/>
    <x v="0"/>
    <x v="85"/>
    <x v="300"/>
    <x v="4"/>
    <n v="73"/>
    <x v="3"/>
    <s v="Low (&lt;3k)"/>
    <s v="Short (1-3 days)"/>
    <s v="Good"/>
  </r>
  <r>
    <s v="P1306"/>
    <x v="2"/>
    <x v="3"/>
    <x v="9"/>
    <x v="0"/>
    <x v="61"/>
    <x v="3"/>
    <x v="8"/>
    <n v="97"/>
    <x v="2"/>
    <s v="Low (&lt;3k)"/>
    <s v="Medium (4-7 days)"/>
    <s v="Excellent"/>
  </r>
  <r>
    <s v="P1307"/>
    <x v="2"/>
    <x v="2"/>
    <x v="8"/>
    <x v="0"/>
    <x v="67"/>
    <x v="301"/>
    <x v="7"/>
    <n v="98"/>
    <x v="2"/>
    <s v="Medium (3k-8k)"/>
    <s v="Medium (4-7 days)"/>
    <s v="Excellent"/>
  </r>
  <r>
    <s v="P1308"/>
    <x v="3"/>
    <x v="0"/>
    <x v="2"/>
    <x v="1"/>
    <x v="8"/>
    <x v="302"/>
    <x v="13"/>
    <n v="57"/>
    <x v="3"/>
    <s v="Medium (3k-8k)"/>
    <s v="Long (8+ days)"/>
    <s v="Needs Attention"/>
  </r>
  <r>
    <s v="P1309"/>
    <x v="1"/>
    <x v="3"/>
    <x v="1"/>
    <x v="0"/>
    <x v="9"/>
    <x v="303"/>
    <x v="7"/>
    <n v="78"/>
    <x v="0"/>
    <s v="Medium (3k-8k)"/>
    <s v="Medium (4-7 days)"/>
    <s v="Good"/>
  </r>
  <r>
    <s v="P1310"/>
    <x v="1"/>
    <x v="3"/>
    <x v="1"/>
    <x v="1"/>
    <x v="40"/>
    <x v="304"/>
    <x v="3"/>
    <n v="79"/>
    <x v="2"/>
    <s v="Medium (3k-8k)"/>
    <s v="Short (1-3 days)"/>
    <s v="Good"/>
  </r>
  <r>
    <s v="P1311"/>
    <x v="3"/>
    <x v="1"/>
    <x v="6"/>
    <x v="0"/>
    <x v="27"/>
    <x v="305"/>
    <x v="4"/>
    <n v="69"/>
    <x v="2"/>
    <s v="Low (&lt;3k)"/>
    <s v="Short (1-3 days)"/>
    <s v="Needs Attention"/>
  </r>
  <r>
    <s v="P1312"/>
    <x v="0"/>
    <x v="0"/>
    <x v="8"/>
    <x v="1"/>
    <x v="3"/>
    <x v="306"/>
    <x v="1"/>
    <n v="87"/>
    <x v="1"/>
    <s v="High (&gt;8k)"/>
    <s v="Long (8+ days)"/>
    <s v="Excellent"/>
  </r>
  <r>
    <s v="P1313"/>
    <x v="1"/>
    <x v="0"/>
    <x v="8"/>
    <x v="1"/>
    <x v="18"/>
    <x v="307"/>
    <x v="7"/>
    <n v="54"/>
    <x v="1"/>
    <s v="High (&gt;8k)"/>
    <s v="Medium (4-7 days)"/>
    <s v="Needs Attention"/>
  </r>
  <r>
    <s v="P1314"/>
    <x v="4"/>
    <x v="0"/>
    <x v="3"/>
    <x v="1"/>
    <x v="51"/>
    <x v="308"/>
    <x v="9"/>
    <n v="96"/>
    <x v="4"/>
    <s v="High (&gt;8k)"/>
    <s v="Long (8+ days)"/>
    <s v="Excellent"/>
  </r>
  <r>
    <s v="P1315"/>
    <x v="0"/>
    <x v="1"/>
    <x v="4"/>
    <x v="2"/>
    <x v="54"/>
    <x v="309"/>
    <x v="6"/>
    <n v="74"/>
    <x v="3"/>
    <s v="Low (&lt;3k)"/>
    <s v="Short (1-3 days)"/>
    <s v="Good"/>
  </r>
  <r>
    <s v="P1316"/>
    <x v="1"/>
    <x v="3"/>
    <x v="4"/>
    <x v="1"/>
    <x v="16"/>
    <x v="310"/>
    <x v="7"/>
    <n v="58"/>
    <x v="2"/>
    <s v="Medium (3k-8k)"/>
    <s v="Medium (4-7 days)"/>
    <s v="Needs Attention"/>
  </r>
  <r>
    <s v="P1317"/>
    <x v="0"/>
    <x v="3"/>
    <x v="0"/>
    <x v="0"/>
    <x v="55"/>
    <x v="311"/>
    <x v="7"/>
    <n v="77"/>
    <x v="3"/>
    <s v="Medium (3k-8k)"/>
    <s v="Medium (4-7 days)"/>
    <s v="Good"/>
  </r>
  <r>
    <s v="P1318"/>
    <x v="2"/>
    <x v="1"/>
    <x v="9"/>
    <x v="1"/>
    <x v="72"/>
    <x v="210"/>
    <x v="6"/>
    <n v="62"/>
    <x v="3"/>
    <s v="Low (&lt;3k)"/>
    <s v="Short (1-3 days)"/>
    <s v="Needs Attention"/>
  </r>
  <r>
    <s v="P1319"/>
    <x v="0"/>
    <x v="0"/>
    <x v="0"/>
    <x v="0"/>
    <x v="43"/>
    <x v="312"/>
    <x v="7"/>
    <n v="65"/>
    <x v="3"/>
    <s v="High (&gt;8k)"/>
    <s v="Medium (4-7 days)"/>
    <s v="Needs Attention"/>
  </r>
  <r>
    <s v="P1320"/>
    <x v="3"/>
    <x v="0"/>
    <x v="5"/>
    <x v="0"/>
    <x v="20"/>
    <x v="313"/>
    <x v="9"/>
    <n v="95"/>
    <x v="3"/>
    <s v="High (&gt;8k)"/>
    <s v="Long (8+ days)"/>
    <s v="Excellent"/>
  </r>
  <r>
    <s v="P1321"/>
    <x v="6"/>
    <x v="0"/>
    <x v="9"/>
    <x v="0"/>
    <x v="44"/>
    <x v="314"/>
    <x v="1"/>
    <n v="84"/>
    <x v="3"/>
    <s v="High (&gt;8k)"/>
    <s v="Long (8+ days)"/>
    <s v="Good"/>
  </r>
  <r>
    <s v="P1322"/>
    <x v="3"/>
    <x v="0"/>
    <x v="7"/>
    <x v="0"/>
    <x v="7"/>
    <x v="315"/>
    <x v="13"/>
    <n v="70"/>
    <x v="3"/>
    <s v="High (&gt;8k)"/>
    <s v="Long (8+ days)"/>
    <s v="Good"/>
  </r>
  <r>
    <s v="P1323"/>
    <x v="2"/>
    <x v="2"/>
    <x v="9"/>
    <x v="1"/>
    <x v="68"/>
    <x v="316"/>
    <x v="11"/>
    <n v="64"/>
    <x v="4"/>
    <s v="Medium (3k-8k)"/>
    <s v="Long (8+ days)"/>
    <s v="Needs Attention"/>
  </r>
  <r>
    <s v="P1324"/>
    <x v="4"/>
    <x v="2"/>
    <x v="3"/>
    <x v="1"/>
    <x v="58"/>
    <x v="317"/>
    <x v="1"/>
    <n v="85"/>
    <x v="2"/>
    <s v="Low (&lt;3k)"/>
    <s v="Long (8+ days)"/>
    <s v="Excellent"/>
  </r>
  <r>
    <s v="P1325"/>
    <x v="4"/>
    <x v="0"/>
    <x v="4"/>
    <x v="0"/>
    <x v="42"/>
    <x v="318"/>
    <x v="2"/>
    <n v="70"/>
    <x v="2"/>
    <s v="High (&gt;8k)"/>
    <s v="Long (8+ days)"/>
    <s v="Good"/>
  </r>
  <r>
    <s v="P1326"/>
    <x v="0"/>
    <x v="1"/>
    <x v="8"/>
    <x v="1"/>
    <x v="54"/>
    <x v="319"/>
    <x v="4"/>
    <n v="80"/>
    <x v="3"/>
    <s v="Low (&lt;3k)"/>
    <s v="Short (1-3 days)"/>
    <s v="Good"/>
  </r>
  <r>
    <s v="P1327"/>
    <x v="3"/>
    <x v="3"/>
    <x v="3"/>
    <x v="0"/>
    <x v="68"/>
    <x v="320"/>
    <x v="3"/>
    <n v="85"/>
    <x v="4"/>
    <s v="Medium (3k-8k)"/>
    <s v="Short (1-3 days)"/>
    <s v="Excellent"/>
  </r>
  <r>
    <s v="P1328"/>
    <x v="4"/>
    <x v="1"/>
    <x v="2"/>
    <x v="0"/>
    <x v="48"/>
    <x v="321"/>
    <x v="6"/>
    <n v="63"/>
    <x v="3"/>
    <s v="Low (&lt;3k)"/>
    <s v="Short (1-3 days)"/>
    <s v="Needs Attention"/>
  </r>
  <r>
    <s v="P1329"/>
    <x v="5"/>
    <x v="0"/>
    <x v="6"/>
    <x v="0"/>
    <x v="80"/>
    <x v="322"/>
    <x v="1"/>
    <n v="53"/>
    <x v="1"/>
    <s v="High (&gt;8k)"/>
    <s v="Long (8+ days)"/>
    <s v="Needs Attention"/>
  </r>
  <r>
    <s v="P1330"/>
    <x v="5"/>
    <x v="1"/>
    <x v="1"/>
    <x v="0"/>
    <x v="30"/>
    <x v="323"/>
    <x v="4"/>
    <n v="96"/>
    <x v="1"/>
    <s v="Low (&lt;3k)"/>
    <s v="Short (1-3 days)"/>
    <s v="Excellent"/>
  </r>
  <r>
    <s v="P1331"/>
    <x v="0"/>
    <x v="3"/>
    <x v="6"/>
    <x v="1"/>
    <x v="81"/>
    <x v="324"/>
    <x v="3"/>
    <n v="63"/>
    <x v="3"/>
    <s v="Low (&lt;3k)"/>
    <s v="Short (1-3 days)"/>
    <s v="Needs Attention"/>
  </r>
  <r>
    <s v="P1332"/>
    <x v="3"/>
    <x v="0"/>
    <x v="6"/>
    <x v="0"/>
    <x v="37"/>
    <x v="325"/>
    <x v="1"/>
    <n v="75"/>
    <x v="2"/>
    <s v="High (&gt;8k)"/>
    <s v="Long (8+ days)"/>
    <s v="Good"/>
  </r>
  <r>
    <s v="P1333"/>
    <x v="3"/>
    <x v="2"/>
    <x v="3"/>
    <x v="1"/>
    <x v="16"/>
    <x v="326"/>
    <x v="0"/>
    <n v="69"/>
    <x v="2"/>
    <s v="Medium (3k-8k)"/>
    <s v="Medium (4-7 days)"/>
    <s v="Needs Attention"/>
  </r>
  <r>
    <s v="P1334"/>
    <x v="5"/>
    <x v="2"/>
    <x v="2"/>
    <x v="0"/>
    <x v="15"/>
    <x v="327"/>
    <x v="5"/>
    <n v="98"/>
    <x v="2"/>
    <s v="Low (&lt;3k)"/>
    <s v="Long (8+ days)"/>
    <s v="Excellent"/>
  </r>
  <r>
    <s v="P1335"/>
    <x v="6"/>
    <x v="2"/>
    <x v="9"/>
    <x v="1"/>
    <x v="23"/>
    <x v="328"/>
    <x v="7"/>
    <n v="97"/>
    <x v="3"/>
    <s v="Low (&lt;3k)"/>
    <s v="Medium (4-7 days)"/>
    <s v="Excellent"/>
  </r>
  <r>
    <s v="P1336"/>
    <x v="3"/>
    <x v="0"/>
    <x v="3"/>
    <x v="0"/>
    <x v="87"/>
    <x v="329"/>
    <x v="12"/>
    <n v="68"/>
    <x v="2"/>
    <s v="High (&gt;8k)"/>
    <s v="Long (8+ days)"/>
    <s v="Needs Attention"/>
  </r>
  <r>
    <s v="P1337"/>
    <x v="3"/>
    <x v="3"/>
    <x v="4"/>
    <x v="1"/>
    <x v="69"/>
    <x v="330"/>
    <x v="8"/>
    <n v="85"/>
    <x v="2"/>
    <s v="Low (&lt;3k)"/>
    <s v="Medium (4-7 days)"/>
    <s v="Excellent"/>
  </r>
  <r>
    <s v="P1338"/>
    <x v="0"/>
    <x v="2"/>
    <x v="3"/>
    <x v="0"/>
    <x v="77"/>
    <x v="331"/>
    <x v="5"/>
    <n v="79"/>
    <x v="2"/>
    <s v="Medium (3k-8k)"/>
    <s v="Long (8+ days)"/>
    <s v="Good"/>
  </r>
  <r>
    <s v="P1339"/>
    <x v="3"/>
    <x v="2"/>
    <x v="7"/>
    <x v="1"/>
    <x v="83"/>
    <x v="332"/>
    <x v="8"/>
    <n v="84"/>
    <x v="2"/>
    <s v="Medium (3k-8k)"/>
    <s v="Medium (4-7 days)"/>
    <s v="Good"/>
  </r>
  <r>
    <s v="P1340"/>
    <x v="0"/>
    <x v="0"/>
    <x v="2"/>
    <x v="1"/>
    <x v="30"/>
    <x v="333"/>
    <x v="9"/>
    <n v="53"/>
    <x v="1"/>
    <s v="High (&gt;8k)"/>
    <s v="Long (8+ days)"/>
    <s v="Needs Attention"/>
  </r>
  <r>
    <s v="P1341"/>
    <x v="6"/>
    <x v="0"/>
    <x v="8"/>
    <x v="1"/>
    <x v="6"/>
    <x v="334"/>
    <x v="10"/>
    <n v="95"/>
    <x v="2"/>
    <s v="High (&gt;8k)"/>
    <s v="Medium (4-7 days)"/>
    <s v="Excellent"/>
  </r>
  <r>
    <s v="P1342"/>
    <x v="3"/>
    <x v="0"/>
    <x v="9"/>
    <x v="0"/>
    <x v="36"/>
    <x v="335"/>
    <x v="13"/>
    <n v="90"/>
    <x v="3"/>
    <s v="Medium (3k-8k)"/>
    <s v="Long (8+ days)"/>
    <s v="Excellent"/>
  </r>
  <r>
    <s v="P1343"/>
    <x v="0"/>
    <x v="1"/>
    <x v="6"/>
    <x v="1"/>
    <x v="16"/>
    <x v="336"/>
    <x v="6"/>
    <n v="50"/>
    <x v="2"/>
    <s v="Low (&lt;3k)"/>
    <s v="Short (1-3 days)"/>
    <s v="Needs Attention"/>
  </r>
  <r>
    <s v="P1344"/>
    <x v="1"/>
    <x v="2"/>
    <x v="2"/>
    <x v="0"/>
    <x v="52"/>
    <x v="337"/>
    <x v="1"/>
    <n v="61"/>
    <x v="1"/>
    <s v="Medium (3k-8k)"/>
    <s v="Long (8+ days)"/>
    <s v="Needs Attention"/>
  </r>
  <r>
    <s v="P1345"/>
    <x v="1"/>
    <x v="0"/>
    <x v="2"/>
    <x v="1"/>
    <x v="39"/>
    <x v="338"/>
    <x v="2"/>
    <n v="66"/>
    <x v="0"/>
    <s v="High (&gt;8k)"/>
    <s v="Long (8+ days)"/>
    <s v="Needs Attention"/>
  </r>
  <r>
    <s v="P1346"/>
    <x v="6"/>
    <x v="2"/>
    <x v="3"/>
    <x v="0"/>
    <x v="47"/>
    <x v="339"/>
    <x v="1"/>
    <n v="79"/>
    <x v="1"/>
    <s v="Medium (3k-8k)"/>
    <s v="Long (8+ days)"/>
    <s v="Good"/>
  </r>
  <r>
    <s v="P1347"/>
    <x v="2"/>
    <x v="3"/>
    <x v="9"/>
    <x v="1"/>
    <x v="47"/>
    <x v="340"/>
    <x v="3"/>
    <n v="75"/>
    <x v="1"/>
    <s v="Low (&lt;3k)"/>
    <s v="Short (1-3 days)"/>
    <s v="Good"/>
  </r>
  <r>
    <s v="P1348"/>
    <x v="4"/>
    <x v="1"/>
    <x v="2"/>
    <x v="1"/>
    <x v="10"/>
    <x v="49"/>
    <x v="4"/>
    <n v="60"/>
    <x v="2"/>
    <s v="Low (&lt;3k)"/>
    <s v="Short (1-3 days)"/>
    <s v="Needs Attention"/>
  </r>
  <r>
    <s v="P1349"/>
    <x v="1"/>
    <x v="1"/>
    <x v="8"/>
    <x v="0"/>
    <x v="81"/>
    <x v="341"/>
    <x v="3"/>
    <n v="83"/>
    <x v="3"/>
    <s v="Low (&lt;3k)"/>
    <s v="Short (1-3 days)"/>
    <s v="Good"/>
  </r>
  <r>
    <s v="P1350"/>
    <x v="1"/>
    <x v="3"/>
    <x v="9"/>
    <x v="0"/>
    <x v="19"/>
    <x v="342"/>
    <x v="4"/>
    <n v="52"/>
    <x v="2"/>
    <s v="Medium (3k-8k)"/>
    <s v="Short (1-3 days)"/>
    <s v="Needs Attention"/>
  </r>
  <r>
    <s v="P1351"/>
    <x v="1"/>
    <x v="2"/>
    <x v="2"/>
    <x v="0"/>
    <x v="11"/>
    <x v="343"/>
    <x v="0"/>
    <n v="51"/>
    <x v="1"/>
    <s v="Low (&lt;3k)"/>
    <s v="Medium (4-7 days)"/>
    <s v="Needs Attention"/>
  </r>
  <r>
    <s v="P1352"/>
    <x v="3"/>
    <x v="3"/>
    <x v="8"/>
    <x v="0"/>
    <x v="55"/>
    <x v="344"/>
    <x v="7"/>
    <n v="65"/>
    <x v="3"/>
    <s v="Low (&lt;3k)"/>
    <s v="Medium (4-7 days)"/>
    <s v="Needs Attention"/>
  </r>
  <r>
    <s v="P1353"/>
    <x v="2"/>
    <x v="1"/>
    <x v="2"/>
    <x v="1"/>
    <x v="51"/>
    <x v="345"/>
    <x v="4"/>
    <n v="96"/>
    <x v="4"/>
    <s v="Low (&lt;3k)"/>
    <s v="Short (1-3 days)"/>
    <s v="Excellent"/>
  </r>
  <r>
    <s v="P1354"/>
    <x v="1"/>
    <x v="2"/>
    <x v="0"/>
    <x v="1"/>
    <x v="21"/>
    <x v="346"/>
    <x v="0"/>
    <n v="88"/>
    <x v="0"/>
    <s v="Low (&lt;3k)"/>
    <s v="Medium (4-7 days)"/>
    <s v="Excellent"/>
  </r>
  <r>
    <s v="P1355"/>
    <x v="6"/>
    <x v="1"/>
    <x v="4"/>
    <x v="1"/>
    <x v="74"/>
    <x v="347"/>
    <x v="6"/>
    <n v="81"/>
    <x v="0"/>
    <s v="Low (&lt;3k)"/>
    <s v="Short (1-3 days)"/>
    <s v="Good"/>
  </r>
  <r>
    <s v="P1356"/>
    <x v="3"/>
    <x v="2"/>
    <x v="2"/>
    <x v="0"/>
    <x v="50"/>
    <x v="348"/>
    <x v="1"/>
    <n v="55"/>
    <x v="3"/>
    <s v="Low (&lt;3k)"/>
    <s v="Long (8+ days)"/>
    <s v="Needs Attention"/>
  </r>
  <r>
    <s v="P1357"/>
    <x v="6"/>
    <x v="2"/>
    <x v="9"/>
    <x v="0"/>
    <x v="47"/>
    <x v="349"/>
    <x v="8"/>
    <n v="74"/>
    <x v="1"/>
    <s v="Medium (3k-8k)"/>
    <s v="Medium (4-7 days)"/>
    <s v="Good"/>
  </r>
  <r>
    <s v="P1358"/>
    <x v="0"/>
    <x v="3"/>
    <x v="8"/>
    <x v="1"/>
    <x v="56"/>
    <x v="350"/>
    <x v="3"/>
    <n v="69"/>
    <x v="4"/>
    <s v="Low (&lt;3k)"/>
    <s v="Short (1-3 days)"/>
    <s v="Needs Attention"/>
  </r>
  <r>
    <s v="P1359"/>
    <x v="4"/>
    <x v="2"/>
    <x v="3"/>
    <x v="1"/>
    <x v="80"/>
    <x v="351"/>
    <x v="1"/>
    <n v="78"/>
    <x v="1"/>
    <s v="Low (&lt;3k)"/>
    <s v="Long (8+ days)"/>
    <s v="Good"/>
  </r>
  <r>
    <s v="P1360"/>
    <x v="2"/>
    <x v="1"/>
    <x v="5"/>
    <x v="1"/>
    <x v="49"/>
    <x v="352"/>
    <x v="3"/>
    <n v="88"/>
    <x v="3"/>
    <s v="Low (&lt;3k)"/>
    <s v="Short (1-3 days)"/>
    <s v="Excellent"/>
  </r>
  <r>
    <s v="P1361"/>
    <x v="2"/>
    <x v="2"/>
    <x v="8"/>
    <x v="1"/>
    <x v="23"/>
    <x v="353"/>
    <x v="4"/>
    <n v="96"/>
    <x v="3"/>
    <s v="Medium (3k-8k)"/>
    <s v="Short (1-3 days)"/>
    <s v="Excellent"/>
  </r>
  <r>
    <s v="P1362"/>
    <x v="2"/>
    <x v="3"/>
    <x v="1"/>
    <x v="0"/>
    <x v="63"/>
    <x v="354"/>
    <x v="6"/>
    <n v="58"/>
    <x v="2"/>
    <s v="Medium (3k-8k)"/>
    <s v="Short (1-3 days)"/>
    <s v="Needs Attention"/>
  </r>
  <r>
    <s v="P1363"/>
    <x v="5"/>
    <x v="2"/>
    <x v="3"/>
    <x v="0"/>
    <x v="18"/>
    <x v="355"/>
    <x v="1"/>
    <n v="67"/>
    <x v="1"/>
    <s v="Low (&lt;3k)"/>
    <s v="Long (8+ days)"/>
    <s v="Needs Attention"/>
  </r>
  <r>
    <s v="P1364"/>
    <x v="4"/>
    <x v="2"/>
    <x v="6"/>
    <x v="0"/>
    <x v="8"/>
    <x v="264"/>
    <x v="7"/>
    <n v="96"/>
    <x v="3"/>
    <s v="Medium (3k-8k)"/>
    <s v="Medium (4-7 days)"/>
    <s v="Excellent"/>
  </r>
  <r>
    <s v="P1365"/>
    <x v="0"/>
    <x v="1"/>
    <x v="1"/>
    <x v="0"/>
    <x v="38"/>
    <x v="356"/>
    <x v="3"/>
    <n v="69"/>
    <x v="3"/>
    <s v="Low (&lt;3k)"/>
    <s v="Short (1-3 days)"/>
    <s v="Needs Attention"/>
  </r>
  <r>
    <s v="P1366"/>
    <x v="1"/>
    <x v="1"/>
    <x v="4"/>
    <x v="0"/>
    <x v="54"/>
    <x v="357"/>
    <x v="6"/>
    <n v="78"/>
    <x v="3"/>
    <s v="Low (&lt;3k)"/>
    <s v="Short (1-3 days)"/>
    <s v="Good"/>
  </r>
  <r>
    <s v="P1367"/>
    <x v="5"/>
    <x v="1"/>
    <x v="1"/>
    <x v="1"/>
    <x v="59"/>
    <x v="358"/>
    <x v="4"/>
    <n v="62"/>
    <x v="3"/>
    <s v="Low (&lt;3k)"/>
    <s v="Short (1-3 days)"/>
    <s v="Needs Attention"/>
  </r>
  <r>
    <s v="P1368"/>
    <x v="4"/>
    <x v="2"/>
    <x v="7"/>
    <x v="0"/>
    <x v="12"/>
    <x v="359"/>
    <x v="5"/>
    <n v="86"/>
    <x v="3"/>
    <s v="Medium (3k-8k)"/>
    <s v="Long (8+ days)"/>
    <s v="Excellent"/>
  </r>
  <r>
    <s v="P1369"/>
    <x v="6"/>
    <x v="3"/>
    <x v="4"/>
    <x v="1"/>
    <x v="75"/>
    <x v="360"/>
    <x v="3"/>
    <n v="86"/>
    <x v="3"/>
    <s v="Medium (3k-8k)"/>
    <s v="Short (1-3 days)"/>
    <s v="Excellent"/>
  </r>
  <r>
    <s v="P1370"/>
    <x v="3"/>
    <x v="3"/>
    <x v="2"/>
    <x v="1"/>
    <x v="15"/>
    <x v="361"/>
    <x v="8"/>
    <n v="68"/>
    <x v="2"/>
    <s v="Low (&lt;3k)"/>
    <s v="Medium (4-7 days)"/>
    <s v="Needs Attention"/>
  </r>
  <r>
    <s v="P1371"/>
    <x v="6"/>
    <x v="0"/>
    <x v="8"/>
    <x v="0"/>
    <x v="51"/>
    <x v="362"/>
    <x v="5"/>
    <n v="65"/>
    <x v="4"/>
    <s v="High (&gt;8k)"/>
    <s v="Long (8+ days)"/>
    <s v="Needs Attention"/>
  </r>
  <r>
    <s v="P1372"/>
    <x v="5"/>
    <x v="3"/>
    <x v="8"/>
    <x v="0"/>
    <x v="30"/>
    <x v="363"/>
    <x v="7"/>
    <n v="80"/>
    <x v="1"/>
    <s v="Medium (3k-8k)"/>
    <s v="Medium (4-7 days)"/>
    <s v="Good"/>
  </r>
  <r>
    <s v="P1373"/>
    <x v="2"/>
    <x v="1"/>
    <x v="2"/>
    <x v="0"/>
    <x v="19"/>
    <x v="364"/>
    <x v="4"/>
    <n v="52"/>
    <x v="2"/>
    <s v="Low (&lt;3k)"/>
    <s v="Short (1-3 days)"/>
    <s v="Needs Attention"/>
  </r>
  <r>
    <s v="P1374"/>
    <x v="6"/>
    <x v="2"/>
    <x v="2"/>
    <x v="0"/>
    <x v="47"/>
    <x v="365"/>
    <x v="7"/>
    <n v="92"/>
    <x v="1"/>
    <s v="Low (&lt;3k)"/>
    <s v="Medium (4-7 days)"/>
    <s v="Excellent"/>
  </r>
  <r>
    <s v="P1375"/>
    <x v="0"/>
    <x v="2"/>
    <x v="7"/>
    <x v="0"/>
    <x v="5"/>
    <x v="366"/>
    <x v="1"/>
    <n v="98"/>
    <x v="1"/>
    <s v="Medium (3k-8k)"/>
    <s v="Long (8+ days)"/>
    <s v="Excellent"/>
  </r>
  <r>
    <s v="P1376"/>
    <x v="5"/>
    <x v="1"/>
    <x v="5"/>
    <x v="1"/>
    <x v="41"/>
    <x v="367"/>
    <x v="4"/>
    <n v="97"/>
    <x v="0"/>
    <s v="Low (&lt;3k)"/>
    <s v="Short (1-3 days)"/>
    <s v="Excellent"/>
  </r>
  <r>
    <s v="P1377"/>
    <x v="2"/>
    <x v="3"/>
    <x v="6"/>
    <x v="1"/>
    <x v="15"/>
    <x v="368"/>
    <x v="6"/>
    <n v="72"/>
    <x v="2"/>
    <s v="Medium (3k-8k)"/>
    <s v="Short (1-3 days)"/>
    <s v="Good"/>
  </r>
  <r>
    <s v="P1378"/>
    <x v="1"/>
    <x v="1"/>
    <x v="5"/>
    <x v="1"/>
    <x v="47"/>
    <x v="369"/>
    <x v="4"/>
    <n v="59"/>
    <x v="1"/>
    <s v="Low (&lt;3k)"/>
    <s v="Short (1-3 days)"/>
    <s v="Needs Attention"/>
  </r>
  <r>
    <s v="P1379"/>
    <x v="5"/>
    <x v="2"/>
    <x v="4"/>
    <x v="1"/>
    <x v="71"/>
    <x v="370"/>
    <x v="5"/>
    <n v="72"/>
    <x v="0"/>
    <s v="Medium (3k-8k)"/>
    <s v="Long (8+ days)"/>
    <s v="Good"/>
  </r>
  <r>
    <s v="P1380"/>
    <x v="4"/>
    <x v="0"/>
    <x v="6"/>
    <x v="0"/>
    <x v="20"/>
    <x v="371"/>
    <x v="10"/>
    <n v="69"/>
    <x v="3"/>
    <s v="High (&gt;8k)"/>
    <s v="Medium (4-7 days)"/>
    <s v="Needs Attention"/>
  </r>
  <r>
    <s v="P1381"/>
    <x v="1"/>
    <x v="0"/>
    <x v="0"/>
    <x v="0"/>
    <x v="86"/>
    <x v="372"/>
    <x v="9"/>
    <n v="60"/>
    <x v="2"/>
    <s v="Medium (3k-8k)"/>
    <s v="Long (8+ days)"/>
    <s v="Needs Attention"/>
  </r>
  <r>
    <s v="P1382"/>
    <x v="0"/>
    <x v="3"/>
    <x v="2"/>
    <x v="1"/>
    <x v="14"/>
    <x v="373"/>
    <x v="7"/>
    <n v="77"/>
    <x v="0"/>
    <s v="Medium (3k-8k)"/>
    <s v="Medium (4-7 days)"/>
    <s v="Good"/>
  </r>
  <r>
    <s v="P1383"/>
    <x v="4"/>
    <x v="3"/>
    <x v="8"/>
    <x v="0"/>
    <x v="82"/>
    <x v="374"/>
    <x v="8"/>
    <n v="51"/>
    <x v="0"/>
    <s v="Medium (3k-8k)"/>
    <s v="Medium (4-7 days)"/>
    <s v="Needs Attention"/>
  </r>
  <r>
    <s v="P1384"/>
    <x v="0"/>
    <x v="3"/>
    <x v="6"/>
    <x v="0"/>
    <x v="48"/>
    <x v="375"/>
    <x v="6"/>
    <n v="63"/>
    <x v="3"/>
    <s v="Low (&lt;3k)"/>
    <s v="Short (1-3 days)"/>
    <s v="Needs Attention"/>
  </r>
  <r>
    <s v="P1385"/>
    <x v="5"/>
    <x v="0"/>
    <x v="1"/>
    <x v="1"/>
    <x v="16"/>
    <x v="376"/>
    <x v="11"/>
    <n v="70"/>
    <x v="2"/>
    <s v="High (&gt;8k)"/>
    <s v="Long (8+ days)"/>
    <s v="Good"/>
  </r>
  <r>
    <s v="P1386"/>
    <x v="3"/>
    <x v="1"/>
    <x v="5"/>
    <x v="1"/>
    <x v="77"/>
    <x v="377"/>
    <x v="4"/>
    <n v="70"/>
    <x v="2"/>
    <s v="Low (&lt;3k)"/>
    <s v="Short (1-3 days)"/>
    <s v="Good"/>
  </r>
  <r>
    <s v="P1387"/>
    <x v="2"/>
    <x v="1"/>
    <x v="1"/>
    <x v="1"/>
    <x v="53"/>
    <x v="378"/>
    <x v="6"/>
    <n v="79"/>
    <x v="4"/>
    <s v="Low (&lt;3k)"/>
    <s v="Short (1-3 days)"/>
    <s v="Good"/>
  </r>
  <r>
    <s v="P1388"/>
    <x v="2"/>
    <x v="3"/>
    <x v="3"/>
    <x v="0"/>
    <x v="58"/>
    <x v="64"/>
    <x v="6"/>
    <n v="70"/>
    <x v="2"/>
    <s v="Low (&lt;3k)"/>
    <s v="Short (1-3 days)"/>
    <s v="Good"/>
  </r>
  <r>
    <s v="P1389"/>
    <x v="1"/>
    <x v="3"/>
    <x v="3"/>
    <x v="1"/>
    <x v="36"/>
    <x v="379"/>
    <x v="7"/>
    <n v="74"/>
    <x v="3"/>
    <s v="Low (&lt;3k)"/>
    <s v="Medium (4-7 days)"/>
    <s v="Good"/>
  </r>
  <r>
    <s v="P1390"/>
    <x v="4"/>
    <x v="3"/>
    <x v="1"/>
    <x v="1"/>
    <x v="82"/>
    <x v="380"/>
    <x v="7"/>
    <n v="94"/>
    <x v="0"/>
    <s v="Medium (3k-8k)"/>
    <s v="Medium (4-7 days)"/>
    <s v="Excellent"/>
  </r>
  <r>
    <s v="P1391"/>
    <x v="0"/>
    <x v="3"/>
    <x v="2"/>
    <x v="1"/>
    <x v="33"/>
    <x v="381"/>
    <x v="6"/>
    <n v="70"/>
    <x v="3"/>
    <s v="Low (&lt;3k)"/>
    <s v="Short (1-3 days)"/>
    <s v="Good"/>
  </r>
  <r>
    <s v="P1392"/>
    <x v="6"/>
    <x v="1"/>
    <x v="1"/>
    <x v="1"/>
    <x v="49"/>
    <x v="49"/>
    <x v="6"/>
    <n v="58"/>
    <x v="3"/>
    <s v="Low (&lt;3k)"/>
    <s v="Short (1-3 days)"/>
    <s v="Needs Attention"/>
  </r>
  <r>
    <s v="P1393"/>
    <x v="3"/>
    <x v="1"/>
    <x v="2"/>
    <x v="0"/>
    <x v="73"/>
    <x v="382"/>
    <x v="4"/>
    <n v="81"/>
    <x v="2"/>
    <s v="Low (&lt;3k)"/>
    <s v="Short (1-3 days)"/>
    <s v="Good"/>
  </r>
  <r>
    <s v="P1394"/>
    <x v="4"/>
    <x v="1"/>
    <x v="6"/>
    <x v="1"/>
    <x v="69"/>
    <x v="383"/>
    <x v="3"/>
    <n v="68"/>
    <x v="2"/>
    <s v="Low (&lt;3k)"/>
    <s v="Short (1-3 days)"/>
    <s v="Needs Attention"/>
  </r>
  <r>
    <s v="P1395"/>
    <x v="1"/>
    <x v="2"/>
    <x v="9"/>
    <x v="0"/>
    <x v="9"/>
    <x v="384"/>
    <x v="5"/>
    <n v="85"/>
    <x v="0"/>
    <s v="Medium (3k-8k)"/>
    <s v="Long (8+ days)"/>
    <s v="Excellent"/>
  </r>
  <r>
    <s v="P1396"/>
    <x v="2"/>
    <x v="0"/>
    <x v="1"/>
    <x v="1"/>
    <x v="83"/>
    <x v="385"/>
    <x v="11"/>
    <n v="84"/>
    <x v="2"/>
    <s v="High (&gt;8k)"/>
    <s v="Long (8+ days)"/>
    <s v="Good"/>
  </r>
  <r>
    <s v="P1397"/>
    <x v="6"/>
    <x v="0"/>
    <x v="6"/>
    <x v="0"/>
    <x v="24"/>
    <x v="386"/>
    <x v="9"/>
    <n v="98"/>
    <x v="3"/>
    <s v="Medium (3k-8k)"/>
    <s v="Long (8+ days)"/>
    <s v="Excellent"/>
  </r>
  <r>
    <s v="P1398"/>
    <x v="3"/>
    <x v="2"/>
    <x v="0"/>
    <x v="1"/>
    <x v="72"/>
    <x v="387"/>
    <x v="5"/>
    <n v="57"/>
    <x v="3"/>
    <s v="Low (&lt;3k)"/>
    <s v="Long (8+ days)"/>
    <s v="Needs Attention"/>
  </r>
  <r>
    <s v="P1399"/>
    <x v="6"/>
    <x v="3"/>
    <x v="9"/>
    <x v="0"/>
    <x v="58"/>
    <x v="388"/>
    <x v="7"/>
    <n v="90"/>
    <x v="2"/>
    <s v="Medium (3k-8k)"/>
    <s v="Medium (4-7 days)"/>
    <s v="Excellent"/>
  </r>
  <r>
    <s v="P1400"/>
    <x v="4"/>
    <x v="3"/>
    <x v="1"/>
    <x v="1"/>
    <x v="71"/>
    <x v="389"/>
    <x v="3"/>
    <n v="86"/>
    <x v="0"/>
    <s v="Low (&lt;3k)"/>
    <s v="Short (1-3 days)"/>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BAA28F-6B5E-4C11-BEC0-73FB9B4BF4F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24:B26" firstHeaderRow="1" firstDataRow="1" firstDataCol="1"/>
  <pivotFields count="13">
    <pivotField showAll="0"/>
    <pivotField axis="axisRow" showAll="0" sortType="ascending">
      <items count="8">
        <item x="1"/>
        <item h="1" x="0"/>
        <item h="1" x="6"/>
        <item h="1" x="5"/>
        <item h="1" x="2"/>
        <item h="1" x="3"/>
        <item h="1" x="4"/>
        <item t="default"/>
      </items>
    </pivotField>
    <pivotField showAll="0">
      <items count="5">
        <item x="3"/>
        <item h="1" x="1"/>
        <item h="1" x="0"/>
        <item h="1" x="2"/>
        <item t="default"/>
      </items>
    </pivotField>
    <pivotField showAll="0"/>
    <pivotField showAll="0"/>
    <pivotField numFmtId="1" showAll="0"/>
    <pivotField dataField="1" numFmtId="164" showAll="0">
      <items count="391">
        <item h="1" x="49"/>
        <item h="1" x="153"/>
        <item h="1" x="191"/>
        <item h="1" x="383"/>
        <item h="1" x="266"/>
        <item h="1" x="106"/>
        <item h="1" x="231"/>
        <item h="1" x="97"/>
        <item h="1" x="356"/>
        <item h="1" x="243"/>
        <item h="1" x="185"/>
        <item x="369"/>
        <item h="1" x="244"/>
        <item h="1" x="14"/>
        <item h="1" x="127"/>
        <item h="1" x="210"/>
        <item h="1" x="164"/>
        <item h="1" x="375"/>
        <item h="1" x="297"/>
        <item h="1" x="94"/>
        <item h="1" x="319"/>
        <item h="1" x="323"/>
        <item h="1" x="29"/>
        <item h="1" x="67"/>
        <item h="1" x="280"/>
        <item h="1" x="367"/>
        <item h="1" x="137"/>
        <item h="1" x="321"/>
        <item h="1" x="192"/>
        <item h="1" x="228"/>
        <item h="1" x="154"/>
        <item h="1" x="123"/>
        <item h="1" x="92"/>
        <item h="1" x="340"/>
        <item h="1" x="241"/>
        <item h="1" x="263"/>
        <item h="1" x="111"/>
        <item h="1" x="77"/>
        <item h="1" x="223"/>
        <item h="1" x="198"/>
        <item h="1" x="209"/>
        <item h="1" x="207"/>
        <item h="1" x="197"/>
        <item h="1" x="294"/>
        <item h="1" x="235"/>
        <item h="1" x="378"/>
        <item h="1" x="47"/>
        <item h="1" x="216"/>
        <item h="1" x="249"/>
        <item h="1" x="290"/>
        <item h="1" x="296"/>
        <item h="1" x="382"/>
        <item h="1" x="364"/>
        <item h="1" x="181"/>
        <item h="1" x="71"/>
        <item h="1" x="42"/>
        <item h="1" x="267"/>
        <item h="1" x="113"/>
        <item h="1" x="309"/>
        <item h="1" x="202"/>
        <item h="1" x="99"/>
        <item h="1" x="281"/>
        <item h="1" x="305"/>
        <item h="1" x="85"/>
        <item h="1" x="40"/>
        <item h="1" x="167"/>
        <item h="1" x="64"/>
        <item h="1" x="183"/>
        <item h="1" x="155"/>
        <item h="1" x="265"/>
        <item h="1" x="246"/>
        <item h="1" x="215"/>
        <item h="1" x="350"/>
        <item h="1" x="377"/>
        <item h="1" x="138"/>
        <item h="1" x="336"/>
        <item h="1" x="352"/>
        <item h="1" x="341"/>
        <item h="1" x="328"/>
        <item h="1" x="242"/>
        <item h="1" x="53"/>
        <item h="1" x="298"/>
        <item h="1" x="141"/>
        <item h="1" x="278"/>
        <item h="1" x="268"/>
        <item h="1" x="358"/>
        <item h="1" x="147"/>
        <item h="1" x="124"/>
        <item h="1" x="300"/>
        <item h="1" x="6"/>
        <item h="1" x="79"/>
        <item h="1" x="100"/>
        <item h="1" x="88"/>
        <item h="1" x="91"/>
        <item h="1" x="36"/>
        <item h="1" x="174"/>
        <item h="1" x="89"/>
        <item h="1" x="68"/>
        <item h="1" x="10"/>
        <item h="1" x="152"/>
        <item h="1" x="148"/>
        <item h="1" x="245"/>
        <item h="1" x="346"/>
        <item h="1" x="131"/>
        <item h="1" x="145"/>
        <item h="1" x="381"/>
        <item h="1" x="58"/>
        <item h="1" x="379"/>
        <item h="1" x="73"/>
        <item h="1" x="257"/>
        <item h="1" x="206"/>
        <item h="1" x="213"/>
        <item h="1" x="387"/>
        <item h="1" x="50"/>
        <item h="1" x="13"/>
        <item h="1" x="233"/>
        <item h="1" x="3"/>
        <item h="1" x="125"/>
        <item h="1" x="277"/>
        <item h="1" x="146"/>
        <item h="1" x="347"/>
        <item h="1" x="327"/>
        <item h="1" x="172"/>
        <item h="1" x="345"/>
        <item h="1" x="344"/>
        <item h="1" x="273"/>
        <item h="1" x="4"/>
        <item h="1" x="357"/>
        <item h="1" x="119"/>
        <item h="1" x="120"/>
        <item h="1" x="19"/>
        <item h="1" x="365"/>
        <item h="1" x="253"/>
        <item h="1" x="224"/>
        <item h="1" x="72"/>
        <item h="1" x="178"/>
        <item h="1" x="291"/>
        <item h="1" x="169"/>
        <item h="1" x="144"/>
        <item h="1" x="30"/>
        <item h="1" x="140"/>
        <item h="1" x="212"/>
        <item h="1" x="25"/>
        <item h="1" x="292"/>
        <item h="1" x="161"/>
        <item h="1" x="32"/>
        <item h="1" x="165"/>
        <item h="1" x="74"/>
        <item h="1" x="248"/>
        <item h="1" x="24"/>
        <item h="1" x="389"/>
        <item h="1" x="163"/>
        <item h="1" x="361"/>
        <item h="1" x="12"/>
        <item h="1" x="8"/>
        <item h="1" x="86"/>
        <item h="1" x="151"/>
        <item h="1" x="355"/>
        <item h="1" x="317"/>
        <item h="1" x="287"/>
        <item h="1" x="343"/>
        <item h="1" x="330"/>
        <item h="1" x="348"/>
        <item h="1" x="351"/>
        <item h="1" x="279"/>
        <item h="1" x="23"/>
        <item h="1" x="166"/>
        <item h="1" x="101"/>
        <item h="1" x="104"/>
        <item h="1" x="102"/>
        <item h="1" x="108"/>
        <item h="1" x="143"/>
        <item h="1" x="41"/>
        <item h="1" x="156"/>
        <item h="1" x="262"/>
        <item h="1" x="324"/>
        <item h="1" x="282"/>
        <item h="1" x="264"/>
        <item h="1" x="195"/>
        <item h="1" x="63"/>
        <item h="1" x="112"/>
        <item h="1" x="303"/>
        <item h="1" x="349"/>
        <item h="1" x="59"/>
        <item h="1" x="288"/>
        <item h="1" x="75"/>
        <item h="1" x="373"/>
        <item h="1" x="286"/>
        <item h="1" x="130"/>
        <item h="1" x="162"/>
        <item h="1" x="234"/>
        <item h="1" x="135"/>
        <item h="1" x="128"/>
        <item h="1" x="261"/>
        <item h="1" x="114"/>
        <item h="1" x="388"/>
        <item h="1" x="359"/>
        <item h="1" x="238"/>
        <item h="1" x="189"/>
        <item h="1" x="139"/>
        <item h="1" x="295"/>
        <item h="1" x="360"/>
        <item h="1" x="21"/>
        <item h="1" x="186"/>
        <item h="1" x="180"/>
        <item h="1" x="214"/>
        <item h="1" x="11"/>
        <item h="1" x="35"/>
        <item h="1" x="354"/>
        <item h="1" x="132"/>
        <item h="1" x="204"/>
        <item h="1" x="81"/>
        <item h="1" x="275"/>
        <item h="1" x="310"/>
        <item h="1" x="54"/>
        <item h="1" x="230"/>
        <item h="1" x="289"/>
        <item h="1" x="254"/>
        <item h="1" x="159"/>
        <item h="1" x="173"/>
        <item h="1" x="51"/>
        <item h="1" x="160"/>
        <item h="1" x="374"/>
        <item h="1" x="339"/>
        <item h="1" x="240"/>
        <item h="1" x="304"/>
        <item h="1" x="353"/>
        <item h="1" x="363"/>
        <item h="1" x="218"/>
        <item h="1" x="272"/>
        <item h="1" x="311"/>
        <item h="1" x="320"/>
        <item h="1" x="259"/>
        <item h="1" x="98"/>
        <item h="1" x="66"/>
        <item h="1" x="342"/>
        <item h="1" x="78"/>
        <item h="1" x="380"/>
        <item h="1" x="96"/>
        <item h="1" x="283"/>
        <item h="1" x="188"/>
        <item h="1" x="196"/>
        <item h="1" x="271"/>
        <item h="1" x="368"/>
        <item h="1" x="133"/>
        <item h="1" x="199"/>
        <item h="1" x="18"/>
        <item h="1" x="384"/>
        <item h="1" x="142"/>
        <item h="1" x="70"/>
        <item h="1" x="82"/>
        <item h="1" x="105"/>
        <item h="1" x="28"/>
        <item h="1" x="20"/>
        <item h="1" x="158"/>
        <item h="1" x="37"/>
        <item h="1" x="44"/>
        <item h="1" x="62"/>
        <item h="1" x="171"/>
        <item h="1" x="332"/>
        <item h="1" x="337"/>
        <item h="1" x="134"/>
        <item h="1" x="370"/>
        <item h="1" x="208"/>
        <item h="1" x="274"/>
        <item h="1" x="9"/>
        <item h="1" x="301"/>
        <item h="1" x="115"/>
        <item h="1" x="284"/>
        <item h="1" x="269"/>
        <item h="1" x="110"/>
        <item h="1" x="107"/>
        <item h="1" x="179"/>
        <item h="1" x="175"/>
        <item h="1" x="366"/>
        <item h="1" x="211"/>
        <item h="1" x="168"/>
        <item h="1" x="177"/>
        <item h="1" x="26"/>
        <item h="1" x="103"/>
        <item h="1" x="335"/>
        <item h="1" x="200"/>
        <item h="1" x="258"/>
        <item h="1" x="118"/>
        <item h="1" x="170"/>
        <item h="1" x="251"/>
        <item h="1" x="48"/>
        <item h="1" x="252"/>
        <item h="1" x="302"/>
        <item h="1" x="7"/>
        <item h="1" x="326"/>
        <item h="1" x="276"/>
        <item h="1" x="217"/>
        <item h="1" x="316"/>
        <item h="1" x="226"/>
        <item h="1" x="61"/>
        <item h="1" x="299"/>
        <item h="1" x="65"/>
        <item h="1" x="1"/>
        <item h="1" x="33"/>
        <item h="1" x="386"/>
        <item h="1" x="45"/>
        <item h="1" x="95"/>
        <item h="1" x="221"/>
        <item h="1" x="372"/>
        <item h="1" x="285"/>
        <item h="1" x="157"/>
        <item h="1" x="331"/>
        <item h="1" x="5"/>
        <item h="1" x="34"/>
        <item h="1" x="150"/>
        <item h="1" x="56"/>
        <item h="1" x="376"/>
        <item h="1" x="122"/>
        <item h="1" x="193"/>
        <item h="1" x="0"/>
        <item h="1" x="334"/>
        <item h="1" x="315"/>
        <item h="1" x="203"/>
        <item h="1" x="116"/>
        <item h="1" x="43"/>
        <item h="1" x="255"/>
        <item h="1" x="225"/>
        <item h="1" x="371"/>
        <item h="1" x="220"/>
        <item h="1" x="239"/>
        <item h="1" x="270"/>
        <item h="1" x="182"/>
        <item h="1" x="136"/>
        <item h="1" x="318"/>
        <item h="1" x="219"/>
        <item h="1" x="87"/>
        <item h="1" x="55"/>
        <item h="1" x="60"/>
        <item h="1" x="184"/>
        <item h="1" x="90"/>
        <item h="1" x="57"/>
        <item h="1" x="314"/>
        <item h="1" x="237"/>
        <item h="1" x="260"/>
        <item h="1" x="117"/>
        <item h="1" x="126"/>
        <item h="1" x="194"/>
        <item h="1" x="69"/>
        <item h="1" x="250"/>
        <item h="1" x="16"/>
        <item h="1" x="322"/>
        <item h="1" x="307"/>
        <item h="1" x="293"/>
        <item h="1" x="236"/>
        <item h="1" x="227"/>
        <item h="1" x="205"/>
        <item h="1" x="329"/>
        <item h="1" x="149"/>
        <item h="1" x="129"/>
        <item h="1" x="256"/>
        <item h="1" x="313"/>
        <item h="1" x="325"/>
        <item h="1" x="46"/>
        <item h="1" x="312"/>
        <item h="1" x="338"/>
        <item h="1" x="52"/>
        <item h="1" x="84"/>
        <item h="1" x="229"/>
        <item h="1" x="362"/>
        <item h="1" x="201"/>
        <item h="1" x="39"/>
        <item h="1" x="2"/>
        <item h="1" x="306"/>
        <item h="1" x="176"/>
        <item h="1" x="93"/>
        <item h="1" x="17"/>
        <item h="1" x="22"/>
        <item h="1" x="109"/>
        <item h="1" x="308"/>
        <item h="1" x="187"/>
        <item h="1" x="121"/>
        <item h="1" x="83"/>
        <item h="1" x="15"/>
        <item h="1" x="31"/>
        <item h="1" x="333"/>
        <item h="1" x="385"/>
        <item h="1" x="222"/>
        <item h="1" x="247"/>
        <item h="1" x="38"/>
        <item h="1" x="27"/>
        <item h="1" x="190"/>
        <item h="1" x="80"/>
        <item h="1" x="232"/>
        <item h="1" x="76"/>
        <item t="default"/>
      </items>
    </pivotField>
    <pivotField numFmtId="1" showAll="0"/>
    <pivotField numFmtId="1" showAll="0"/>
    <pivotField showAll="0"/>
    <pivotField showAll="0"/>
    <pivotField showAll="0"/>
    <pivotField showAll="0"/>
  </pivotFields>
  <rowFields count="1">
    <field x="1"/>
  </rowFields>
  <rowItems count="2">
    <i>
      <x/>
    </i>
    <i t="grand">
      <x/>
    </i>
  </rowItems>
  <colItems count="1">
    <i/>
  </colItems>
  <dataFields count="1">
    <dataField name="Average of Treatment Cost" fld="6" subtotal="average" baseField="1"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E494F8-CBF8-425A-A1D0-6BCB966870A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E15:F20" firstHeaderRow="1" firstDataRow="1" firstDataCol="1"/>
  <pivotFields count="13">
    <pivotField showAll="0"/>
    <pivotField showAll="0">
      <items count="8">
        <item x="1"/>
        <item h="1" x="0"/>
        <item h="1" x="6"/>
        <item h="1" x="5"/>
        <item h="1" x="2"/>
        <item h="1" x="3"/>
        <item h="1" x="4"/>
        <item t="default"/>
      </items>
    </pivotField>
    <pivotField showAll="0">
      <items count="5">
        <item x="3"/>
        <item h="1" x="1"/>
        <item h="1" x="0"/>
        <item h="1" x="2"/>
        <item t="default"/>
      </items>
    </pivotField>
    <pivotField showAll="0"/>
    <pivotField showAll="0"/>
    <pivotField numFmtId="1" showAll="0">
      <items count="89">
        <item x="3"/>
        <item x="62"/>
        <item x="52"/>
        <item x="1"/>
        <item x="11"/>
        <item x="5"/>
        <item x="70"/>
        <item x="28"/>
        <item x="18"/>
        <item x="30"/>
        <item x="47"/>
        <item x="80"/>
        <item x="65"/>
        <item x="56"/>
        <item x="53"/>
        <item x="64"/>
        <item x="35"/>
        <item x="51"/>
        <item x="68"/>
        <item x="14"/>
        <item x="9"/>
        <item x="66"/>
        <item x="82"/>
        <item x="39"/>
        <item x="84"/>
        <item x="71"/>
        <item x="22"/>
        <item x="13"/>
        <item x="21"/>
        <item x="26"/>
        <item x="0"/>
        <item x="34"/>
        <item x="41"/>
        <item x="74"/>
        <item x="33"/>
        <item x="7"/>
        <item x="55"/>
        <item x="85"/>
        <item x="12"/>
        <item x="59"/>
        <item x="81"/>
        <item x="4"/>
        <item x="72"/>
        <item x="49"/>
        <item x="8"/>
        <item x="36"/>
        <item x="54"/>
        <item x="48"/>
        <item x="75"/>
        <item x="44"/>
        <item x="23"/>
        <item x="43"/>
        <item x="24"/>
        <item x="50"/>
        <item x="31"/>
        <item x="20"/>
        <item x="38"/>
        <item x="15"/>
        <item x="67"/>
        <item x="61"/>
        <item x="77"/>
        <item x="73"/>
        <item x="17"/>
        <item x="40"/>
        <item x="57"/>
        <item x="79"/>
        <item x="16"/>
        <item x="83"/>
        <item x="25"/>
        <item x="27"/>
        <item x="69"/>
        <item x="46"/>
        <item x="87"/>
        <item x="58"/>
        <item x="60"/>
        <item x="45"/>
        <item x="78"/>
        <item x="29"/>
        <item x="6"/>
        <item x="10"/>
        <item x="86"/>
        <item x="2"/>
        <item x="32"/>
        <item x="42"/>
        <item x="76"/>
        <item x="63"/>
        <item x="19"/>
        <item x="37"/>
        <item t="default"/>
      </items>
    </pivotField>
    <pivotField numFmtId="164" showAll="0"/>
    <pivotField numFmtId="1" showAll="0"/>
    <pivotField dataField="1" numFmtId="1" showAll="0"/>
    <pivotField axis="axisRow" showAll="0">
      <items count="6">
        <item x="3"/>
        <item x="1"/>
        <item x="2"/>
        <item x="4"/>
        <item x="0"/>
        <item t="default"/>
      </items>
    </pivotField>
    <pivotField showAll="0"/>
    <pivotField showAll="0"/>
    <pivotField showAll="0"/>
  </pivotFields>
  <rowFields count="1">
    <field x="9"/>
  </rowFields>
  <rowItems count="5">
    <i>
      <x/>
    </i>
    <i>
      <x v="2"/>
    </i>
    <i>
      <x v="3"/>
    </i>
    <i>
      <x v="4"/>
    </i>
    <i t="grand">
      <x/>
    </i>
  </rowItems>
  <colItems count="1">
    <i/>
  </colItems>
  <dataFields count="1">
    <dataField name="Average of Recovery Score" fld="8" subtotal="average" baseField="9"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35FD86-AC11-44BF-95C1-4B0669E13B8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E39:F42" firstHeaderRow="1" firstDataRow="1" firstDataCol="1"/>
  <pivotFields count="13">
    <pivotField showAll="0"/>
    <pivotField showAll="0">
      <items count="8">
        <item x="1"/>
        <item h="1" x="0"/>
        <item h="1" x="6"/>
        <item h="1" x="5"/>
        <item h="1" x="2"/>
        <item h="1" x="3"/>
        <item h="1" x="4"/>
        <item t="default"/>
      </items>
    </pivotField>
    <pivotField showAll="0">
      <items count="5">
        <item x="3"/>
        <item h="1" x="1"/>
        <item h="1" x="0"/>
        <item h="1" x="2"/>
        <item t="default"/>
      </items>
    </pivotField>
    <pivotField showAll="0"/>
    <pivotField axis="axisRow" showAll="0">
      <items count="4">
        <item x="0"/>
        <item x="1"/>
        <item x="2"/>
        <item t="default"/>
      </items>
    </pivotField>
    <pivotField dataField="1" numFmtId="1" showAll="0">
      <items count="89">
        <item x="3"/>
        <item x="62"/>
        <item x="52"/>
        <item x="1"/>
        <item x="11"/>
        <item x="5"/>
        <item x="70"/>
        <item x="28"/>
        <item x="18"/>
        <item x="30"/>
        <item x="47"/>
        <item x="80"/>
        <item x="65"/>
        <item x="56"/>
        <item x="53"/>
        <item x="64"/>
        <item x="35"/>
        <item x="51"/>
        <item x="68"/>
        <item x="14"/>
        <item x="9"/>
        <item x="66"/>
        <item x="82"/>
        <item x="39"/>
        <item x="84"/>
        <item x="71"/>
        <item x="22"/>
        <item x="13"/>
        <item x="21"/>
        <item x="26"/>
        <item x="0"/>
        <item x="34"/>
        <item x="41"/>
        <item x="74"/>
        <item x="33"/>
        <item x="7"/>
        <item x="55"/>
        <item x="85"/>
        <item x="12"/>
        <item x="59"/>
        <item x="81"/>
        <item x="4"/>
        <item x="72"/>
        <item x="49"/>
        <item x="8"/>
        <item x="36"/>
        <item x="54"/>
        <item x="48"/>
        <item x="75"/>
        <item x="44"/>
        <item x="23"/>
        <item x="43"/>
        <item x="24"/>
        <item x="50"/>
        <item x="31"/>
        <item x="20"/>
        <item x="38"/>
        <item x="15"/>
        <item x="67"/>
        <item x="61"/>
        <item x="77"/>
        <item x="73"/>
        <item x="17"/>
        <item x="40"/>
        <item x="57"/>
        <item x="79"/>
        <item x="16"/>
        <item x="83"/>
        <item x="25"/>
        <item x="27"/>
        <item x="69"/>
        <item x="46"/>
        <item x="87"/>
        <item x="58"/>
        <item x="60"/>
        <item x="45"/>
        <item x="78"/>
        <item x="29"/>
        <item x="6"/>
        <item x="10"/>
        <item x="86"/>
        <item x="2"/>
        <item x="32"/>
        <item x="42"/>
        <item x="76"/>
        <item x="63"/>
        <item x="19"/>
        <item x="37"/>
        <item t="default"/>
      </items>
    </pivotField>
    <pivotField numFmtId="164" showAll="0"/>
    <pivotField numFmtId="1" showAll="0"/>
    <pivotField numFmtId="1" showAll="0"/>
    <pivotField showAll="0"/>
    <pivotField showAll="0"/>
    <pivotField showAll="0"/>
    <pivotField showAll="0"/>
  </pivotFields>
  <rowFields count="1">
    <field x="4"/>
  </rowFields>
  <rowItems count="3">
    <i>
      <x/>
    </i>
    <i>
      <x v="1"/>
    </i>
    <i t="grand">
      <x/>
    </i>
  </rowItems>
  <colItems count="1">
    <i/>
  </colItems>
  <dataFields count="1">
    <dataField name="Average of Age" fld="5" subtotal="average" baseField="4" baseItem="0" numFmtId="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2A2EE7-D0DD-4BD2-8F2D-BA7E0CA60AF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octor Name">
  <location ref="A34:B41" firstHeaderRow="1" firstDataRow="1" firstDataCol="1"/>
  <pivotFields count="13">
    <pivotField showAll="0"/>
    <pivotField showAll="0">
      <items count="8">
        <item x="1"/>
        <item h="1" x="0"/>
        <item h="1" x="6"/>
        <item h="1" x="5"/>
        <item h="1" x="2"/>
        <item h="1" x="3"/>
        <item h="1" x="4"/>
        <item t="default"/>
      </items>
    </pivotField>
    <pivotField showAll="0">
      <items count="5">
        <item x="3"/>
        <item h="1" x="1"/>
        <item h="1" x="0"/>
        <item h="1" x="2"/>
        <item t="default"/>
      </items>
    </pivotField>
    <pivotField axis="axisRow" showAll="0" sortType="ascending">
      <items count="11">
        <item x="9"/>
        <item x="6"/>
        <item x="4"/>
        <item x="5"/>
        <item x="3"/>
        <item x="1"/>
        <item x="8"/>
        <item x="2"/>
        <item x="0"/>
        <item x="7"/>
        <item t="default"/>
      </items>
    </pivotField>
    <pivotField showAll="0"/>
    <pivotField numFmtId="1" showAll="0"/>
    <pivotField numFmtId="164" showAll="0"/>
    <pivotField numFmtId="1" showAll="0"/>
    <pivotField dataField="1" numFmtId="1" showAll="0"/>
    <pivotField showAll="0"/>
    <pivotField showAll="0"/>
    <pivotField showAll="0"/>
    <pivotField showAll="0"/>
  </pivotFields>
  <rowFields count="1">
    <field x="3"/>
  </rowFields>
  <rowItems count="7">
    <i>
      <x/>
    </i>
    <i>
      <x v="2"/>
    </i>
    <i>
      <x v="3"/>
    </i>
    <i>
      <x v="4"/>
    </i>
    <i>
      <x v="5"/>
    </i>
    <i>
      <x v="9"/>
    </i>
    <i t="grand">
      <x/>
    </i>
  </rowItems>
  <colItems count="1">
    <i/>
  </colItems>
  <dataFields count="1">
    <dataField name="Average of Recovery Score" fld="8" subtotal="average"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794B88-5C0D-4147-8314-0D8F7C053B2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Treatment Type">
  <location ref="E8:F10" firstHeaderRow="1" firstDataRow="1" firstDataCol="1"/>
  <pivotFields count="13">
    <pivotField showAll="0"/>
    <pivotField showAll="0">
      <items count="8">
        <item x="1"/>
        <item h="1" x="0"/>
        <item h="1" x="6"/>
        <item h="1" x="5"/>
        <item h="1" x="2"/>
        <item h="1" x="3"/>
        <item h="1" x="4"/>
        <item t="default"/>
      </items>
    </pivotField>
    <pivotField axis="axisRow" showAll="0">
      <items count="5">
        <item x="3"/>
        <item h="1" x="1"/>
        <item h="1" x="0"/>
        <item h="1" x="2"/>
        <item t="default"/>
      </items>
    </pivotField>
    <pivotField showAll="0"/>
    <pivotField showAll="0"/>
    <pivotField numFmtId="1" showAll="0"/>
    <pivotField numFmtId="164" showAll="0"/>
    <pivotField numFmtId="1" showAll="0"/>
    <pivotField dataField="1" numFmtId="1" showAll="0"/>
    <pivotField showAll="0"/>
    <pivotField showAll="0"/>
    <pivotField showAll="0"/>
    <pivotField showAll="0"/>
  </pivotFields>
  <rowFields count="1">
    <field x="2"/>
  </rowFields>
  <rowItems count="2">
    <i>
      <x/>
    </i>
    <i t="grand">
      <x/>
    </i>
  </rowItems>
  <colItems count="1">
    <i/>
  </colItems>
  <dataFields count="1">
    <dataField name="Average of Recovery Score" fld="8" subtotal="average" baseField="2" baseItem="0" numFmtId="1"/>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F4EF81-2AAD-427E-BC40-255D5983BB8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E29:F31" firstHeaderRow="1" firstDataRow="1" firstDataCol="1"/>
  <pivotFields count="13">
    <pivotField showAll="0"/>
    <pivotField axis="axisRow" showAll="0">
      <items count="8">
        <item x="1"/>
        <item h="1" x="0"/>
        <item h="1" x="6"/>
        <item h="1" x="5"/>
        <item h="1" x="2"/>
        <item h="1" x="3"/>
        <item h="1" x="4"/>
        <item t="default"/>
      </items>
    </pivotField>
    <pivotField showAll="0">
      <items count="5">
        <item x="3"/>
        <item h="1" x="1"/>
        <item h="1" x="0"/>
        <item h="1" x="2"/>
        <item t="default"/>
      </items>
    </pivotField>
    <pivotField showAll="0"/>
    <pivotField showAll="0"/>
    <pivotField numFmtId="1" showAll="0"/>
    <pivotField numFmtId="164" showAll="0"/>
    <pivotField numFmtId="1" showAll="0"/>
    <pivotField dataField="1" numFmtId="1" showAll="0"/>
    <pivotField showAll="0"/>
    <pivotField showAll="0"/>
    <pivotField showAll="0"/>
    <pivotField showAll="0"/>
  </pivotFields>
  <rowFields count="1">
    <field x="1"/>
  </rowFields>
  <rowItems count="2">
    <i>
      <x/>
    </i>
    <i t="grand">
      <x/>
    </i>
  </rowItems>
  <colItems count="1">
    <i/>
  </colItems>
  <dataFields count="1">
    <dataField name="Average of Recovery Score" fld="8"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41775C-EB07-4901-AA45-F924F9D934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Gender ">
  <location ref="E1:F4" firstHeaderRow="1" firstDataRow="1" firstDataCol="1"/>
  <pivotFields count="13">
    <pivotField dataField="1" showAll="0"/>
    <pivotField showAll="0">
      <items count="8">
        <item x="1"/>
        <item h="1" x="0"/>
        <item h="1" x="6"/>
        <item h="1" x="5"/>
        <item h="1" x="2"/>
        <item h="1" x="3"/>
        <item h="1" x="4"/>
        <item t="default"/>
      </items>
    </pivotField>
    <pivotField showAll="0">
      <items count="5">
        <item x="3"/>
        <item h="1" x="1"/>
        <item h="1" x="0"/>
        <item h="1" x="2"/>
        <item t="default"/>
      </items>
    </pivotField>
    <pivotField showAll="0"/>
    <pivotField axis="axisRow" showAll="0">
      <items count="4">
        <item x="0"/>
        <item x="1"/>
        <item x="2"/>
        <item t="default"/>
      </items>
    </pivotField>
    <pivotField numFmtId="1" showAll="0"/>
    <pivotField numFmtId="164" showAll="0"/>
    <pivotField numFmtId="1" showAll="0"/>
    <pivotField numFmtId="1" showAll="0"/>
    <pivotField showAll="0"/>
    <pivotField showAll="0"/>
    <pivotField showAll="0"/>
    <pivotField showAll="0"/>
  </pivotFields>
  <rowFields count="1">
    <field x="4"/>
  </rowFields>
  <rowItems count="3">
    <i>
      <x/>
    </i>
    <i>
      <x v="1"/>
    </i>
    <i t="grand">
      <x/>
    </i>
  </rowItems>
  <colItems count="1">
    <i/>
  </colItems>
  <dataFields count="1">
    <dataField name="Number of Patients" fld="0" subtotal="count" baseField="4"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FA909B-6B40-48B4-80AA-82EDC9F9B6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octors Name">
  <location ref="A11:B18" firstHeaderRow="1" firstDataRow="1" firstDataCol="1"/>
  <pivotFields count="13">
    <pivotField showAll="0"/>
    <pivotField showAll="0">
      <items count="8">
        <item x="1"/>
        <item h="1" x="0"/>
        <item h="1" x="6"/>
        <item h="1" x="5"/>
        <item h="1" x="2"/>
        <item h="1" x="3"/>
        <item h="1" x="4"/>
        <item t="default"/>
      </items>
    </pivotField>
    <pivotField showAll="0">
      <items count="5">
        <item x="3"/>
        <item h="1" x="1"/>
        <item h="1" x="0"/>
        <item h="1" x="2"/>
        <item t="default"/>
      </items>
    </pivotField>
    <pivotField axis="axisRow" showAll="0" sortType="ascending">
      <items count="11">
        <item x="9"/>
        <item x="6"/>
        <item x="4"/>
        <item x="5"/>
        <item x="3"/>
        <item x="1"/>
        <item x="8"/>
        <item x="2"/>
        <item x="0"/>
        <item x="7"/>
        <item t="default"/>
      </items>
    </pivotField>
    <pivotField showAll="0"/>
    <pivotField numFmtId="1" showAll="0"/>
    <pivotField numFmtId="164" showAll="0"/>
    <pivotField numFmtId="1" showAll="0"/>
    <pivotField dataField="1" numFmtId="1" showAll="0"/>
    <pivotField showAll="0"/>
    <pivotField showAll="0"/>
    <pivotField showAll="0"/>
    <pivotField showAll="0"/>
  </pivotFields>
  <rowFields count="1">
    <field x="3"/>
  </rowFields>
  <rowItems count="7">
    <i>
      <x/>
    </i>
    <i>
      <x v="2"/>
    </i>
    <i>
      <x v="3"/>
    </i>
    <i>
      <x v="4"/>
    </i>
    <i>
      <x v="5"/>
    </i>
    <i>
      <x v="9"/>
    </i>
    <i t="grand">
      <x/>
    </i>
  </rowItems>
  <colItems count="1">
    <i/>
  </colItems>
  <dataFields count="1">
    <dataField name="Average of Recovery Score" fld="8" subtotal="average"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0101AD-43AF-4885-8F75-31271D6252C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
  <location ref="E23:F26" firstHeaderRow="1" firstDataRow="1" firstDataCol="1"/>
  <pivotFields count="13">
    <pivotField showAll="0"/>
    <pivotField showAll="0">
      <items count="8">
        <item x="1"/>
        <item h="1" x="0"/>
        <item h="1" x="6"/>
        <item h="1" x="5"/>
        <item h="1" x="2"/>
        <item h="1" x="3"/>
        <item h="1" x="4"/>
        <item t="default"/>
      </items>
    </pivotField>
    <pivotField showAll="0">
      <items count="5">
        <item x="3"/>
        <item h="1" x="1"/>
        <item h="1" x="0"/>
        <item h="1" x="2"/>
        <item t="default"/>
      </items>
    </pivotField>
    <pivotField showAll="0"/>
    <pivotField axis="axisRow" showAll="0">
      <items count="4">
        <item x="0"/>
        <item x="1"/>
        <item x="2"/>
        <item t="default"/>
      </items>
    </pivotField>
    <pivotField numFmtId="1" showAll="0"/>
    <pivotField numFmtId="164" showAll="0"/>
    <pivotField dataField="1" numFmtId="1" showAll="0">
      <items count="16">
        <item x="3"/>
        <item x="6"/>
        <item x="4"/>
        <item x="8"/>
        <item x="7"/>
        <item x="10"/>
        <item x="0"/>
        <item x="1"/>
        <item x="5"/>
        <item x="11"/>
        <item x="12"/>
        <item x="14"/>
        <item x="2"/>
        <item x="13"/>
        <item x="9"/>
        <item t="default"/>
      </items>
    </pivotField>
    <pivotField numFmtId="1" showAll="0"/>
    <pivotField showAll="0"/>
    <pivotField showAll="0"/>
    <pivotField showAll="0"/>
    <pivotField showAll="0"/>
  </pivotFields>
  <rowFields count="1">
    <field x="4"/>
  </rowFields>
  <rowItems count="3">
    <i>
      <x/>
    </i>
    <i>
      <x v="1"/>
    </i>
    <i t="grand">
      <x/>
    </i>
  </rowItems>
  <colItems count="1">
    <i/>
  </colItems>
  <dataFields count="1">
    <dataField name="Average of Hospital Stay (Days)" fld="7" subtotal="average" baseField="4" baseItem="0" numFmtId="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2D3906-305D-4B37-A52B-153171018D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ment">
  <location ref="A1:B3" firstHeaderRow="1" firstDataRow="1" firstDataCol="1"/>
  <pivotFields count="13">
    <pivotField showAll="0"/>
    <pivotField axis="axisRow" showAll="0" sortType="ascending">
      <items count="8">
        <item x="1"/>
        <item h="1" x="0"/>
        <item h="1" x="6"/>
        <item h="1" x="5"/>
        <item h="1" x="2"/>
        <item h="1" x="3"/>
        <item h="1" x="4"/>
        <item t="default"/>
      </items>
    </pivotField>
    <pivotField showAll="0">
      <items count="5">
        <item x="3"/>
        <item h="1" x="1"/>
        <item h="1" x="0"/>
        <item h="1" x="2"/>
        <item t="default"/>
      </items>
    </pivotField>
    <pivotField showAll="0"/>
    <pivotField showAll="0"/>
    <pivotField numFmtId="1" showAll="0"/>
    <pivotField numFmtId="164" showAll="0"/>
    <pivotField numFmtId="1" showAll="0"/>
    <pivotField dataField="1" numFmtId="1" showAll="0"/>
    <pivotField showAll="0"/>
    <pivotField showAll="0"/>
    <pivotField showAll="0"/>
    <pivotField showAll="0"/>
  </pivotFields>
  <rowFields count="1">
    <field x="1"/>
  </rowFields>
  <rowItems count="2">
    <i>
      <x/>
    </i>
    <i t="grand">
      <x/>
    </i>
  </rowItems>
  <colItems count="1">
    <i/>
  </colItems>
  <dataFields count="1">
    <dataField name="Average of Recovery Score" fld="8" subtotal="average" baseField="1" baseItem="0" numFmtId="1"/>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6F5BB3-6808-44C1-9555-59D9324DE2F3}" sourceName="Department">
  <pivotTables>
    <pivotTable tabId="8" name="PivotTable6"/>
    <pivotTable tabId="8" name="PivotTable10"/>
    <pivotTable tabId="8" name="PivotTable11"/>
    <pivotTable tabId="8" name="PivotTable12"/>
    <pivotTable tabId="8" name="PivotTable13"/>
    <pivotTable tabId="8" name="PivotTable14"/>
    <pivotTable tabId="8" name="PivotTable15"/>
    <pivotTable tabId="8" name="PivotTable7"/>
    <pivotTable tabId="8" name="PivotTable8"/>
    <pivotTable tabId="8" name="PivotTable9"/>
  </pivotTables>
  <data>
    <tabular pivotCacheId="1034516730">
      <items count="7">
        <i x="1" s="1"/>
        <i x="0"/>
        <i x="6"/>
        <i x="5"/>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55190ACD-7608-4725-A867-FA8967BBF6FC}" sourceName="Treatment Type">
  <pivotTables>
    <pivotTable tabId="8" name="PivotTable9"/>
    <pivotTable tabId="8" name="PivotTable10"/>
    <pivotTable tabId="8" name="PivotTable11"/>
    <pivotTable tabId="8" name="PivotTable12"/>
    <pivotTable tabId="8" name="PivotTable13"/>
    <pivotTable tabId="8" name="PivotTable14"/>
    <pivotTable tabId="8" name="PivotTable15"/>
    <pivotTable tabId="8" name="PivotTable6"/>
    <pivotTable tabId="8" name="PivotTable7"/>
    <pivotTable tabId="8" name="PivotTable8"/>
  </pivotTables>
  <data>
    <tabular pivotCacheId="1034516730">
      <items count="4">
        <i x="3" s="1"/>
        <i x="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E214FF3-E1BB-4063-B7E8-3B41DFF40C26}" cache="Slicer_Department" caption="Department" rowHeight="230716"/>
  <slicer name="Treatment Type" xr10:uid="{9C4FF9E1-9598-431F-B010-B8CB08252105}" cache="Slicer_Treatment_Type" caption="Treatment Typ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_Data" displayName="Cleaned_Data" ref="A1:M401">
  <tableColumns count="13">
    <tableColumn id="1" xr3:uid="{00000000-0010-0000-0000-000001000000}" name="Patient ID"/>
    <tableColumn id="2" xr3:uid="{00000000-0010-0000-0000-000002000000}" name="Department"/>
    <tableColumn id="3" xr3:uid="{00000000-0010-0000-0000-000003000000}" name="Treatment Type"/>
    <tableColumn id="4" xr3:uid="{00000000-0010-0000-0000-000004000000}" name="Doctor Name"/>
    <tableColumn id="5" xr3:uid="{00000000-0010-0000-0000-000005000000}" name="Gender"/>
    <tableColumn id="6" xr3:uid="{00000000-0010-0000-0000-000006000000}" name="Age"/>
    <tableColumn id="7" xr3:uid="{00000000-0010-0000-0000-000007000000}" name="Treatment Cost"/>
    <tableColumn id="8" xr3:uid="{00000000-0010-0000-0000-000008000000}" name="Hospital Stay (Days)"/>
    <tableColumn id="9" xr3:uid="{00000000-0010-0000-0000-000009000000}" name="Recovery Score"/>
    <tableColumn id="10" xr3:uid="{00000000-0010-0000-0000-00000A000000}" name="Age Group"/>
    <tableColumn id="11" xr3:uid="{00000000-0010-0000-0000-00000B000000}" name="Cost Category"/>
    <tableColumn id="12" xr3:uid="{00000000-0010-0000-0000-00000C000000}" name="Stay Category"/>
    <tableColumn id="13" xr3:uid="{00000000-0010-0000-0000-00000D000000}" name="Recovery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1"/>
  <sheetViews>
    <sheetView topLeftCell="A112" workbookViewId="0">
      <selection activeCell="H5" sqref="H5"/>
    </sheetView>
  </sheetViews>
  <sheetFormatPr defaultRowHeight="14"/>
  <cols>
    <col min="1" max="13" width="16" customWidth="1"/>
  </cols>
  <sheetData>
    <row r="1" spans="1:13" ht="28">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s="2">
        <v>32</v>
      </c>
      <c r="G2" s="3">
        <v>8657</v>
      </c>
      <c r="H2" s="2">
        <v>7</v>
      </c>
      <c r="I2" s="2">
        <v>97</v>
      </c>
      <c r="J2" t="str">
        <f t="shared" ref="J2:J65" si="0">IF(F2&lt;=12,"Child (0-12)",IF(F2&lt;=19,"Teen (13-19)",IF(F2&lt;=35,"Young Adult (20-35)",IF(F2&lt;=59,"Adult (36-59)","Senior (60+)"))))</f>
        <v>Young Adult (20-35)</v>
      </c>
      <c r="K2" t="str">
        <f t="shared" ref="K2:K65" si="1">IF(G2&lt;3000,"Low (&lt;3k)",IF(G2&lt;=8000,"Medium (3k-8k)","High (&gt;8k)"))</f>
        <v>High (&gt;8k)</v>
      </c>
      <c r="L2" t="str">
        <f t="shared" ref="L2:L65" si="2">IF(H2&lt;=3,"Short (1-3 days)",IF(H2&lt;=7,"Medium (4-7 days)","Long (8+ days)"))</f>
        <v>Medium (4-7 days)</v>
      </c>
      <c r="M2" t="str">
        <f t="shared" ref="M2:M65" si="3">IF(I2&gt;=85,"Excellent",IF(I2&gt;=70,"Good","Needs Attention"))</f>
        <v>Excellent</v>
      </c>
    </row>
    <row r="3" spans="1:13">
      <c r="A3" t="s">
        <v>18</v>
      </c>
      <c r="B3" t="s">
        <v>19</v>
      </c>
      <c r="C3" t="s">
        <v>15</v>
      </c>
      <c r="D3" t="s">
        <v>20</v>
      </c>
      <c r="E3" t="s">
        <v>21</v>
      </c>
      <c r="F3" s="2">
        <v>4</v>
      </c>
      <c r="G3" s="3">
        <v>6535</v>
      </c>
      <c r="H3" s="2">
        <v>8</v>
      </c>
      <c r="I3" s="2">
        <v>64</v>
      </c>
      <c r="J3" t="str">
        <f t="shared" si="0"/>
        <v>Child (0-12)</v>
      </c>
      <c r="K3" t="str">
        <f t="shared" si="1"/>
        <v>Medium (3k-8k)</v>
      </c>
      <c r="L3" t="str">
        <f t="shared" si="2"/>
        <v>Long (8+ days)</v>
      </c>
      <c r="M3" t="str">
        <f t="shared" si="3"/>
        <v>Needs Attention</v>
      </c>
    </row>
    <row r="4" spans="1:13">
      <c r="A4" t="s">
        <v>22</v>
      </c>
      <c r="B4" t="s">
        <v>23</v>
      </c>
      <c r="C4" t="s">
        <v>15</v>
      </c>
      <c r="D4" t="s">
        <v>24</v>
      </c>
      <c r="E4" t="s">
        <v>21</v>
      </c>
      <c r="F4" s="2">
        <v>84</v>
      </c>
      <c r="G4" s="3">
        <v>16490</v>
      </c>
      <c r="H4" s="2">
        <v>13</v>
      </c>
      <c r="I4" s="2">
        <v>76</v>
      </c>
      <c r="J4" t="str">
        <f t="shared" si="0"/>
        <v>Senior (60+)</v>
      </c>
      <c r="K4" t="str">
        <f t="shared" si="1"/>
        <v>High (&gt;8k)</v>
      </c>
      <c r="L4" t="str">
        <f t="shared" si="2"/>
        <v>Long (8+ days)</v>
      </c>
      <c r="M4" t="str">
        <f t="shared" si="3"/>
        <v>Good</v>
      </c>
    </row>
    <row r="5" spans="1:13">
      <c r="A5" t="s">
        <v>25</v>
      </c>
      <c r="B5" t="s">
        <v>26</v>
      </c>
      <c r="C5" t="s">
        <v>27</v>
      </c>
      <c r="D5" t="s">
        <v>20</v>
      </c>
      <c r="E5" t="s">
        <v>21</v>
      </c>
      <c r="F5" s="2">
        <v>1</v>
      </c>
      <c r="G5" s="3">
        <v>1754</v>
      </c>
      <c r="H5" s="2">
        <v>1</v>
      </c>
      <c r="I5" s="2">
        <v>94</v>
      </c>
      <c r="J5" t="str">
        <f t="shared" si="0"/>
        <v>Child (0-12)</v>
      </c>
      <c r="K5" t="str">
        <f t="shared" si="1"/>
        <v>Low (&lt;3k)</v>
      </c>
      <c r="L5" t="str">
        <f t="shared" si="2"/>
        <v>Short (1-3 days)</v>
      </c>
      <c r="M5" t="str">
        <f t="shared" si="3"/>
        <v>Excellent</v>
      </c>
    </row>
    <row r="6" spans="1:13">
      <c r="A6" t="s">
        <v>28</v>
      </c>
      <c r="B6" t="s">
        <v>29</v>
      </c>
      <c r="C6" t="s">
        <v>30</v>
      </c>
      <c r="D6" t="s">
        <v>31</v>
      </c>
      <c r="E6" t="s">
        <v>21</v>
      </c>
      <c r="F6" s="2">
        <v>44</v>
      </c>
      <c r="G6" s="3">
        <v>1837</v>
      </c>
      <c r="H6" s="2">
        <v>3</v>
      </c>
      <c r="I6" s="2">
        <v>74</v>
      </c>
      <c r="J6" t="str">
        <f t="shared" si="0"/>
        <v>Adult (36-59)</v>
      </c>
      <c r="K6" t="str">
        <f t="shared" si="1"/>
        <v>Low (&lt;3k)</v>
      </c>
      <c r="L6" t="str">
        <f t="shared" si="2"/>
        <v>Short (1-3 days)</v>
      </c>
      <c r="M6" t="str">
        <f t="shared" si="3"/>
        <v>Good</v>
      </c>
    </row>
    <row r="7" spans="1:13">
      <c r="A7" t="s">
        <v>32</v>
      </c>
      <c r="B7" t="s">
        <v>19</v>
      </c>
      <c r="C7" t="s">
        <v>30</v>
      </c>
      <c r="D7" t="s">
        <v>33</v>
      </c>
      <c r="E7" t="s">
        <v>17</v>
      </c>
      <c r="F7" s="2">
        <v>6</v>
      </c>
      <c r="G7" s="3">
        <v>6977</v>
      </c>
      <c r="H7" s="2">
        <v>9</v>
      </c>
      <c r="I7" s="2">
        <v>84</v>
      </c>
      <c r="J7" t="str">
        <f t="shared" si="0"/>
        <v>Child (0-12)</v>
      </c>
      <c r="K7" t="str">
        <f t="shared" si="1"/>
        <v>Medium (3k-8k)</v>
      </c>
      <c r="L7" t="str">
        <f t="shared" si="2"/>
        <v>Long (8+ days)</v>
      </c>
      <c r="M7" t="str">
        <f t="shared" si="3"/>
        <v>Good</v>
      </c>
    </row>
    <row r="8" spans="1:13">
      <c r="A8" t="s">
        <v>34</v>
      </c>
      <c r="B8" t="s">
        <v>19</v>
      </c>
      <c r="C8" t="s">
        <v>27</v>
      </c>
      <c r="D8" t="s">
        <v>35</v>
      </c>
      <c r="E8" t="s">
        <v>17</v>
      </c>
      <c r="F8" s="2">
        <v>81</v>
      </c>
      <c r="G8" s="3">
        <v>1466</v>
      </c>
      <c r="H8" s="2">
        <v>2</v>
      </c>
      <c r="I8" s="2">
        <v>86</v>
      </c>
      <c r="J8" t="str">
        <f t="shared" si="0"/>
        <v>Senior (60+)</v>
      </c>
      <c r="K8" t="str">
        <f t="shared" si="1"/>
        <v>Low (&lt;3k)</v>
      </c>
      <c r="L8" t="str">
        <f t="shared" si="2"/>
        <v>Short (1-3 days)</v>
      </c>
      <c r="M8" t="str">
        <f t="shared" si="3"/>
        <v>Excellent</v>
      </c>
    </row>
    <row r="9" spans="1:13">
      <c r="A9" t="s">
        <v>36</v>
      </c>
      <c r="B9" t="s">
        <v>26</v>
      </c>
      <c r="C9" t="s">
        <v>15</v>
      </c>
      <c r="D9" t="s">
        <v>16</v>
      </c>
      <c r="E9" t="s">
        <v>17</v>
      </c>
      <c r="F9" s="2">
        <v>38</v>
      </c>
      <c r="G9" s="3">
        <v>6307</v>
      </c>
      <c r="H9" s="2">
        <v>8</v>
      </c>
      <c r="I9" s="2">
        <v>56</v>
      </c>
      <c r="J9" t="str">
        <f t="shared" si="0"/>
        <v>Adult (36-59)</v>
      </c>
      <c r="K9" t="str">
        <f t="shared" si="1"/>
        <v>Medium (3k-8k)</v>
      </c>
      <c r="L9" t="str">
        <f t="shared" si="2"/>
        <v>Long (8+ days)</v>
      </c>
      <c r="M9" t="str">
        <f t="shared" si="3"/>
        <v>Needs Attention</v>
      </c>
    </row>
    <row r="10" spans="1:13">
      <c r="A10" t="s">
        <v>37</v>
      </c>
      <c r="B10" t="s">
        <v>29</v>
      </c>
      <c r="C10" t="s">
        <v>30</v>
      </c>
      <c r="D10" t="s">
        <v>38</v>
      </c>
      <c r="E10" t="s">
        <v>17</v>
      </c>
      <c r="F10" s="2">
        <v>47</v>
      </c>
      <c r="G10" s="3">
        <v>2332</v>
      </c>
      <c r="H10" s="2">
        <v>7</v>
      </c>
      <c r="I10" s="2">
        <v>72</v>
      </c>
      <c r="J10" t="str">
        <f t="shared" si="0"/>
        <v>Adult (36-59)</v>
      </c>
      <c r="K10" t="str">
        <f t="shared" si="1"/>
        <v>Low (&lt;3k)</v>
      </c>
      <c r="L10" t="str">
        <f t="shared" si="2"/>
        <v>Medium (4-7 days)</v>
      </c>
      <c r="M10" t="str">
        <f t="shared" si="3"/>
        <v>Good</v>
      </c>
    </row>
    <row r="11" spans="1:13">
      <c r="A11" t="s">
        <v>39</v>
      </c>
      <c r="B11" t="s">
        <v>26</v>
      </c>
      <c r="C11" t="s">
        <v>30</v>
      </c>
      <c r="D11" t="s">
        <v>35</v>
      </c>
      <c r="E11" t="s">
        <v>17</v>
      </c>
      <c r="F11" s="2">
        <v>22</v>
      </c>
      <c r="G11" s="3">
        <v>5375</v>
      </c>
      <c r="H11" s="2">
        <v>5</v>
      </c>
      <c r="I11" s="2">
        <v>60</v>
      </c>
      <c r="J11" t="str">
        <f t="shared" si="0"/>
        <v>Young Adult (20-35)</v>
      </c>
      <c r="K11" t="str">
        <f t="shared" si="1"/>
        <v>Medium (3k-8k)</v>
      </c>
      <c r="L11" t="str">
        <f t="shared" si="2"/>
        <v>Medium (4-7 days)</v>
      </c>
      <c r="M11" t="str">
        <f t="shared" si="3"/>
        <v>Needs Attention</v>
      </c>
    </row>
    <row r="12" spans="1:13">
      <c r="A12" t="s">
        <v>40</v>
      </c>
      <c r="B12" t="s">
        <v>29</v>
      </c>
      <c r="C12" t="s">
        <v>27</v>
      </c>
      <c r="D12" t="s">
        <v>31</v>
      </c>
      <c r="E12" t="s">
        <v>41</v>
      </c>
      <c r="F12" s="2">
        <v>82</v>
      </c>
      <c r="G12" s="3">
        <v>1609</v>
      </c>
      <c r="H12" s="2">
        <v>3</v>
      </c>
      <c r="I12" s="2">
        <v>64</v>
      </c>
      <c r="J12" t="str">
        <f t="shared" si="0"/>
        <v>Senior (60+)</v>
      </c>
      <c r="K12" t="str">
        <f t="shared" si="1"/>
        <v>Low (&lt;3k)</v>
      </c>
      <c r="L12" t="str">
        <f t="shared" si="2"/>
        <v>Short (1-3 days)</v>
      </c>
      <c r="M12" t="str">
        <f t="shared" si="3"/>
        <v>Needs Attention</v>
      </c>
    </row>
    <row r="13" spans="1:13">
      <c r="A13" t="s">
        <v>42</v>
      </c>
      <c r="B13" t="s">
        <v>14</v>
      </c>
      <c r="C13" t="s">
        <v>30</v>
      </c>
      <c r="D13" t="s">
        <v>16</v>
      </c>
      <c r="E13" t="s">
        <v>21</v>
      </c>
      <c r="F13" s="2">
        <v>5</v>
      </c>
      <c r="G13" s="3">
        <v>3584</v>
      </c>
      <c r="H13" s="2">
        <v>8</v>
      </c>
      <c r="I13" s="2">
        <v>67</v>
      </c>
      <c r="J13" t="str">
        <f t="shared" si="0"/>
        <v>Child (0-12)</v>
      </c>
      <c r="K13" t="str">
        <f t="shared" si="1"/>
        <v>Medium (3k-8k)</v>
      </c>
      <c r="L13" t="str">
        <f t="shared" si="2"/>
        <v>Long (8+ days)</v>
      </c>
      <c r="M13" t="str">
        <f t="shared" si="3"/>
        <v>Needs Attention</v>
      </c>
    </row>
    <row r="14" spans="1:13">
      <c r="A14" t="s">
        <v>43</v>
      </c>
      <c r="B14" t="s">
        <v>19</v>
      </c>
      <c r="C14" t="s">
        <v>44</v>
      </c>
      <c r="D14" t="s">
        <v>20</v>
      </c>
      <c r="E14" t="s">
        <v>17</v>
      </c>
      <c r="F14" s="2">
        <v>41</v>
      </c>
      <c r="G14" s="3">
        <v>2241</v>
      </c>
      <c r="H14" s="2">
        <v>4</v>
      </c>
      <c r="I14" s="2">
        <v>75</v>
      </c>
      <c r="J14" t="str">
        <f t="shared" si="0"/>
        <v>Adult (36-59)</v>
      </c>
      <c r="K14" t="str">
        <f t="shared" si="1"/>
        <v>Low (&lt;3k)</v>
      </c>
      <c r="L14" t="str">
        <f t="shared" si="2"/>
        <v>Medium (4-7 days)</v>
      </c>
      <c r="M14" t="str">
        <f t="shared" si="3"/>
        <v>Good</v>
      </c>
    </row>
    <row r="15" spans="1:13">
      <c r="A15" t="s">
        <v>45</v>
      </c>
      <c r="B15" t="s">
        <v>14</v>
      </c>
      <c r="C15" t="s">
        <v>27</v>
      </c>
      <c r="D15" t="s">
        <v>46</v>
      </c>
      <c r="E15" t="s">
        <v>21</v>
      </c>
      <c r="F15" s="2">
        <v>32</v>
      </c>
      <c r="G15" s="3">
        <v>1725</v>
      </c>
      <c r="H15" s="2">
        <v>3</v>
      </c>
      <c r="I15" s="2">
        <v>84</v>
      </c>
      <c r="J15" t="str">
        <f t="shared" si="0"/>
        <v>Young Adult (20-35)</v>
      </c>
      <c r="K15" t="str">
        <f t="shared" si="1"/>
        <v>Low (&lt;3k)</v>
      </c>
      <c r="L15" t="str">
        <f t="shared" si="2"/>
        <v>Short (1-3 days)</v>
      </c>
      <c r="M15" t="str">
        <f t="shared" si="3"/>
        <v>Good</v>
      </c>
    </row>
    <row r="16" spans="1:13">
      <c r="A16" t="s">
        <v>47</v>
      </c>
      <c r="B16" t="s">
        <v>48</v>
      </c>
      <c r="C16" t="s">
        <v>27</v>
      </c>
      <c r="D16" t="s">
        <v>20</v>
      </c>
      <c r="E16" t="s">
        <v>21</v>
      </c>
      <c r="F16" s="2">
        <v>29</v>
      </c>
      <c r="G16" s="3">
        <v>483</v>
      </c>
      <c r="H16" s="2">
        <v>3</v>
      </c>
      <c r="I16" s="2">
        <v>81</v>
      </c>
      <c r="J16" t="str">
        <f t="shared" si="0"/>
        <v>Young Adult (20-35)</v>
      </c>
      <c r="K16" t="str">
        <f t="shared" si="1"/>
        <v>Low (&lt;3k)</v>
      </c>
      <c r="L16" t="str">
        <f t="shared" si="2"/>
        <v>Short (1-3 days)</v>
      </c>
      <c r="M16" t="str">
        <f t="shared" si="3"/>
        <v>Good</v>
      </c>
    </row>
    <row r="17" spans="1:13">
      <c r="A17" t="s">
        <v>49</v>
      </c>
      <c r="B17" t="s">
        <v>19</v>
      </c>
      <c r="C17" t="s">
        <v>15</v>
      </c>
      <c r="D17" t="s">
        <v>35</v>
      </c>
      <c r="E17" t="s">
        <v>21</v>
      </c>
      <c r="F17" s="2">
        <v>21</v>
      </c>
      <c r="G17" s="3">
        <v>17977</v>
      </c>
      <c r="H17" s="2">
        <v>15</v>
      </c>
      <c r="I17" s="2">
        <v>77</v>
      </c>
      <c r="J17" t="str">
        <f t="shared" si="0"/>
        <v>Young Adult (20-35)</v>
      </c>
      <c r="K17" t="str">
        <f t="shared" si="1"/>
        <v>High (&gt;8k)</v>
      </c>
      <c r="L17" t="str">
        <f t="shared" si="2"/>
        <v>Long (8+ days)</v>
      </c>
      <c r="M17" t="str">
        <f t="shared" si="3"/>
        <v>Good</v>
      </c>
    </row>
    <row r="18" spans="1:13">
      <c r="A18" t="s">
        <v>50</v>
      </c>
      <c r="B18" t="s">
        <v>23</v>
      </c>
      <c r="C18" t="s">
        <v>15</v>
      </c>
      <c r="D18" t="s">
        <v>51</v>
      </c>
      <c r="E18" t="s">
        <v>21</v>
      </c>
      <c r="F18" s="2">
        <v>60</v>
      </c>
      <c r="G18" s="3">
        <v>13669</v>
      </c>
      <c r="H18" s="2">
        <v>9</v>
      </c>
      <c r="I18" s="2">
        <v>85</v>
      </c>
      <c r="J18" t="str">
        <f t="shared" si="0"/>
        <v>Senior (60+)</v>
      </c>
      <c r="K18" t="str">
        <f t="shared" si="1"/>
        <v>High (&gt;8k)</v>
      </c>
      <c r="L18" t="str">
        <f t="shared" si="2"/>
        <v>Long (8+ days)</v>
      </c>
      <c r="M18" t="str">
        <f t="shared" si="3"/>
        <v>Excellent</v>
      </c>
    </row>
    <row r="19" spans="1:13">
      <c r="A19" t="s">
        <v>52</v>
      </c>
      <c r="B19" t="s">
        <v>53</v>
      </c>
      <c r="C19" t="s">
        <v>15</v>
      </c>
      <c r="D19" t="s">
        <v>35</v>
      </c>
      <c r="E19" t="s">
        <v>17</v>
      </c>
      <c r="F19" s="2">
        <v>69</v>
      </c>
      <c r="G19" s="3">
        <v>17302</v>
      </c>
      <c r="H19" s="2">
        <v>9</v>
      </c>
      <c r="I19" s="2">
        <v>99</v>
      </c>
      <c r="J19" t="str">
        <f t="shared" si="0"/>
        <v>Senior (60+)</v>
      </c>
      <c r="K19" t="str">
        <f t="shared" si="1"/>
        <v>High (&gt;8k)</v>
      </c>
      <c r="L19" t="str">
        <f t="shared" si="2"/>
        <v>Long (8+ days)</v>
      </c>
      <c r="M19" t="str">
        <f t="shared" si="3"/>
        <v>Excellent</v>
      </c>
    </row>
    <row r="20" spans="1:13">
      <c r="A20" t="s">
        <v>54</v>
      </c>
      <c r="B20" t="s">
        <v>14</v>
      </c>
      <c r="C20" t="s">
        <v>30</v>
      </c>
      <c r="D20" t="s">
        <v>35</v>
      </c>
      <c r="E20" t="s">
        <v>21</v>
      </c>
      <c r="F20" s="2">
        <v>21</v>
      </c>
      <c r="G20" s="3">
        <v>4716</v>
      </c>
      <c r="H20" s="2">
        <v>2</v>
      </c>
      <c r="I20" s="2">
        <v>96</v>
      </c>
      <c r="J20" t="str">
        <f t="shared" si="0"/>
        <v>Young Adult (20-35)</v>
      </c>
      <c r="K20" t="str">
        <f t="shared" si="1"/>
        <v>Medium (3k-8k)</v>
      </c>
      <c r="L20" t="str">
        <f t="shared" si="2"/>
        <v>Short (1-3 days)</v>
      </c>
      <c r="M20" t="str">
        <f t="shared" si="3"/>
        <v>Excellent</v>
      </c>
    </row>
    <row r="21" spans="1:13">
      <c r="A21" t="s">
        <v>55</v>
      </c>
      <c r="B21" t="s">
        <v>14</v>
      </c>
      <c r="C21" t="s">
        <v>30</v>
      </c>
      <c r="D21" t="s">
        <v>24</v>
      </c>
      <c r="E21" t="s">
        <v>17</v>
      </c>
      <c r="F21" s="2">
        <v>65</v>
      </c>
      <c r="G21" s="3">
        <v>1871</v>
      </c>
      <c r="H21" s="2">
        <v>6</v>
      </c>
      <c r="I21" s="2">
        <v>90</v>
      </c>
      <c r="J21" t="str">
        <f t="shared" si="0"/>
        <v>Senior (60+)</v>
      </c>
      <c r="K21" t="str">
        <f t="shared" si="1"/>
        <v>Low (&lt;3k)</v>
      </c>
      <c r="L21" t="str">
        <f t="shared" si="2"/>
        <v>Medium (4-7 days)</v>
      </c>
      <c r="M21" t="str">
        <f t="shared" si="3"/>
        <v>Excellent</v>
      </c>
    </row>
    <row r="22" spans="1:13">
      <c r="A22" t="s">
        <v>56</v>
      </c>
      <c r="B22" t="s">
        <v>23</v>
      </c>
      <c r="C22" t="s">
        <v>44</v>
      </c>
      <c r="D22" t="s">
        <v>46</v>
      </c>
      <c r="E22" t="s">
        <v>21</v>
      </c>
      <c r="F22" s="2">
        <v>21</v>
      </c>
      <c r="G22" s="3">
        <v>4918</v>
      </c>
      <c r="H22" s="2">
        <v>5</v>
      </c>
      <c r="I22" s="2">
        <v>50</v>
      </c>
      <c r="J22" t="str">
        <f t="shared" si="0"/>
        <v>Young Adult (20-35)</v>
      </c>
      <c r="K22" t="str">
        <f t="shared" si="1"/>
        <v>Medium (3k-8k)</v>
      </c>
      <c r="L22" t="str">
        <f t="shared" si="2"/>
        <v>Medium (4-7 days)</v>
      </c>
      <c r="M22" t="str">
        <f t="shared" si="3"/>
        <v>Needs Attention</v>
      </c>
    </row>
    <row r="23" spans="1:13">
      <c r="A23" t="s">
        <v>57</v>
      </c>
      <c r="B23" t="s">
        <v>23</v>
      </c>
      <c r="C23" t="s">
        <v>30</v>
      </c>
      <c r="D23" t="s">
        <v>38</v>
      </c>
      <c r="E23" t="s">
        <v>21</v>
      </c>
      <c r="F23" s="2">
        <v>47</v>
      </c>
      <c r="G23" s="3">
        <v>3519</v>
      </c>
      <c r="H23" s="2">
        <v>5</v>
      </c>
      <c r="I23" s="2">
        <v>53</v>
      </c>
      <c r="J23" t="str">
        <f t="shared" si="0"/>
        <v>Adult (36-59)</v>
      </c>
      <c r="K23" t="str">
        <f t="shared" si="1"/>
        <v>Medium (3k-8k)</v>
      </c>
      <c r="L23" t="str">
        <f t="shared" si="2"/>
        <v>Medium (4-7 days)</v>
      </c>
      <c r="M23" t="str">
        <f t="shared" si="3"/>
        <v>Needs Attention</v>
      </c>
    </row>
    <row r="24" spans="1:13">
      <c r="A24" t="s">
        <v>58</v>
      </c>
      <c r="B24" t="s">
        <v>26</v>
      </c>
      <c r="C24" t="s">
        <v>15</v>
      </c>
      <c r="D24" t="s">
        <v>35</v>
      </c>
      <c r="E24" t="s">
        <v>17</v>
      </c>
      <c r="F24" s="2">
        <v>9</v>
      </c>
      <c r="G24" s="3">
        <v>17461</v>
      </c>
      <c r="H24" s="2">
        <v>13</v>
      </c>
      <c r="I24" s="2">
        <v>99</v>
      </c>
      <c r="J24" t="str">
        <f t="shared" si="0"/>
        <v>Child (0-12)</v>
      </c>
      <c r="K24" t="str">
        <f t="shared" si="1"/>
        <v>High (&gt;8k)</v>
      </c>
      <c r="L24" t="str">
        <f t="shared" si="2"/>
        <v>Long (8+ days)</v>
      </c>
      <c r="M24" t="str">
        <f t="shared" si="3"/>
        <v>Excellent</v>
      </c>
    </row>
    <row r="25" spans="1:13">
      <c r="A25" t="s">
        <v>59</v>
      </c>
      <c r="B25" t="s">
        <v>26</v>
      </c>
      <c r="C25" t="s">
        <v>44</v>
      </c>
      <c r="D25" t="s">
        <v>38</v>
      </c>
      <c r="E25" t="s">
        <v>17</v>
      </c>
      <c r="F25" s="2">
        <v>22</v>
      </c>
      <c r="G25" s="3">
        <v>2671</v>
      </c>
      <c r="H25" s="2">
        <v>5</v>
      </c>
      <c r="I25" s="2">
        <v>88</v>
      </c>
      <c r="J25" t="str">
        <f t="shared" si="0"/>
        <v>Young Adult (20-35)</v>
      </c>
      <c r="K25" t="str">
        <f t="shared" si="1"/>
        <v>Low (&lt;3k)</v>
      </c>
      <c r="L25" t="str">
        <f t="shared" si="2"/>
        <v>Medium (4-7 days)</v>
      </c>
      <c r="M25" t="str">
        <f t="shared" si="3"/>
        <v>Excellent</v>
      </c>
    </row>
    <row r="26" spans="1:13">
      <c r="A26" t="s">
        <v>60</v>
      </c>
      <c r="B26" t="s">
        <v>29</v>
      </c>
      <c r="C26" t="s">
        <v>44</v>
      </c>
      <c r="D26" t="s">
        <v>24</v>
      </c>
      <c r="E26" t="s">
        <v>17</v>
      </c>
      <c r="F26" s="2">
        <v>89</v>
      </c>
      <c r="G26" s="3">
        <v>2147</v>
      </c>
      <c r="H26" s="2">
        <v>3</v>
      </c>
      <c r="I26" s="2">
        <v>75</v>
      </c>
      <c r="J26" t="str">
        <f t="shared" si="0"/>
        <v>Senior (60+)</v>
      </c>
      <c r="K26" t="str">
        <f t="shared" si="1"/>
        <v>Low (&lt;3k)</v>
      </c>
      <c r="L26" t="str">
        <f t="shared" si="2"/>
        <v>Short (1-3 days)</v>
      </c>
      <c r="M26" t="str">
        <f t="shared" si="3"/>
        <v>Good</v>
      </c>
    </row>
    <row r="27" spans="1:13">
      <c r="A27" t="s">
        <v>61</v>
      </c>
      <c r="B27" t="s">
        <v>14</v>
      </c>
      <c r="C27" t="s">
        <v>30</v>
      </c>
      <c r="D27" t="s">
        <v>38</v>
      </c>
      <c r="E27" t="s">
        <v>17</v>
      </c>
      <c r="F27" s="2">
        <v>58</v>
      </c>
      <c r="G27" s="3">
        <v>1991</v>
      </c>
      <c r="H27" s="2">
        <v>5</v>
      </c>
      <c r="I27" s="2">
        <v>64</v>
      </c>
      <c r="J27" t="str">
        <f t="shared" si="0"/>
        <v>Adult (36-59)</v>
      </c>
      <c r="K27" t="str">
        <f t="shared" si="1"/>
        <v>Low (&lt;3k)</v>
      </c>
      <c r="L27" t="str">
        <f t="shared" si="2"/>
        <v>Medium (4-7 days)</v>
      </c>
      <c r="M27" t="str">
        <f t="shared" si="3"/>
        <v>Needs Attention</v>
      </c>
    </row>
    <row r="28" spans="1:13">
      <c r="A28" t="s">
        <v>62</v>
      </c>
      <c r="B28" t="s">
        <v>19</v>
      </c>
      <c r="C28" t="s">
        <v>30</v>
      </c>
      <c r="D28" t="s">
        <v>16</v>
      </c>
      <c r="E28" t="s">
        <v>17</v>
      </c>
      <c r="F28" s="2">
        <v>30</v>
      </c>
      <c r="G28" s="3">
        <v>5820</v>
      </c>
      <c r="H28" s="2">
        <v>5</v>
      </c>
      <c r="I28" s="2">
        <v>50</v>
      </c>
      <c r="J28" t="str">
        <f t="shared" si="0"/>
        <v>Young Adult (20-35)</v>
      </c>
      <c r="K28" t="str">
        <f t="shared" si="1"/>
        <v>Medium (3k-8k)</v>
      </c>
      <c r="L28" t="str">
        <f t="shared" si="2"/>
        <v>Medium (4-7 days)</v>
      </c>
      <c r="M28" t="str">
        <f t="shared" si="3"/>
        <v>Needs Attention</v>
      </c>
    </row>
    <row r="29" spans="1:13">
      <c r="A29" t="s">
        <v>63</v>
      </c>
      <c r="B29" t="s">
        <v>19</v>
      </c>
      <c r="C29" t="s">
        <v>15</v>
      </c>
      <c r="D29" t="s">
        <v>64</v>
      </c>
      <c r="E29" t="s">
        <v>21</v>
      </c>
      <c r="F29" s="2">
        <v>5</v>
      </c>
      <c r="G29" s="3">
        <v>19084</v>
      </c>
      <c r="H29" s="2">
        <v>10</v>
      </c>
      <c r="I29" s="2">
        <v>54</v>
      </c>
      <c r="J29" t="str">
        <f t="shared" si="0"/>
        <v>Child (0-12)</v>
      </c>
      <c r="K29" t="str">
        <f t="shared" si="1"/>
        <v>High (&gt;8k)</v>
      </c>
      <c r="L29" t="str">
        <f t="shared" si="2"/>
        <v>Long (8+ days)</v>
      </c>
      <c r="M29" t="str">
        <f t="shared" si="3"/>
        <v>Needs Attention</v>
      </c>
    </row>
    <row r="30" spans="1:13">
      <c r="A30" t="s">
        <v>65</v>
      </c>
      <c r="B30" t="s">
        <v>23</v>
      </c>
      <c r="C30" t="s">
        <v>44</v>
      </c>
      <c r="D30" t="s">
        <v>31</v>
      </c>
      <c r="E30" t="s">
        <v>17</v>
      </c>
      <c r="F30" s="2">
        <v>28</v>
      </c>
      <c r="G30" s="3">
        <v>4917</v>
      </c>
      <c r="H30" s="2">
        <v>2</v>
      </c>
      <c r="I30" s="2">
        <v>96</v>
      </c>
      <c r="J30" t="str">
        <f t="shared" si="0"/>
        <v>Young Adult (20-35)</v>
      </c>
      <c r="K30" t="str">
        <f t="shared" si="1"/>
        <v>Medium (3k-8k)</v>
      </c>
      <c r="L30" t="str">
        <f t="shared" si="2"/>
        <v>Short (1-3 days)</v>
      </c>
      <c r="M30" t="str">
        <f t="shared" si="3"/>
        <v>Excellent</v>
      </c>
    </row>
    <row r="31" spans="1:13">
      <c r="A31" t="s">
        <v>66</v>
      </c>
      <c r="B31" t="s">
        <v>23</v>
      </c>
      <c r="C31" t="s">
        <v>27</v>
      </c>
      <c r="D31" t="s">
        <v>64</v>
      </c>
      <c r="E31" t="s">
        <v>17</v>
      </c>
      <c r="F31" s="2">
        <v>53</v>
      </c>
      <c r="G31" s="3">
        <v>589</v>
      </c>
      <c r="H31" s="2">
        <v>1</v>
      </c>
      <c r="I31" s="2">
        <v>56</v>
      </c>
      <c r="J31" t="str">
        <f t="shared" si="0"/>
        <v>Adult (36-59)</v>
      </c>
      <c r="K31" t="str">
        <f t="shared" si="1"/>
        <v>Low (&lt;3k)</v>
      </c>
      <c r="L31" t="str">
        <f t="shared" si="2"/>
        <v>Short (1-3 days)</v>
      </c>
      <c r="M31" t="str">
        <f t="shared" si="3"/>
        <v>Needs Attention</v>
      </c>
    </row>
    <row r="32" spans="1:13">
      <c r="A32" t="s">
        <v>67</v>
      </c>
      <c r="B32" t="s">
        <v>14</v>
      </c>
      <c r="C32" t="s">
        <v>27</v>
      </c>
      <c r="D32" t="s">
        <v>33</v>
      </c>
      <c r="E32" t="s">
        <v>21</v>
      </c>
      <c r="F32" s="2">
        <v>60</v>
      </c>
      <c r="G32" s="3">
        <v>1969</v>
      </c>
      <c r="H32" s="2">
        <v>3</v>
      </c>
      <c r="I32" s="2">
        <v>53</v>
      </c>
      <c r="J32" t="str">
        <f t="shared" si="0"/>
        <v>Senior (60+)</v>
      </c>
      <c r="K32" t="str">
        <f t="shared" si="1"/>
        <v>Low (&lt;3k)</v>
      </c>
      <c r="L32" t="str">
        <f t="shared" si="2"/>
        <v>Short (1-3 days)</v>
      </c>
      <c r="M32" t="str">
        <f t="shared" si="3"/>
        <v>Needs Attention</v>
      </c>
    </row>
    <row r="33" spans="1:13">
      <c r="A33" t="s">
        <v>68</v>
      </c>
      <c r="B33" t="s">
        <v>14</v>
      </c>
      <c r="C33" t="s">
        <v>15</v>
      </c>
      <c r="D33" t="s">
        <v>16</v>
      </c>
      <c r="E33" t="s">
        <v>21</v>
      </c>
      <c r="F33" s="2">
        <v>44</v>
      </c>
      <c r="G33" s="3">
        <v>18116</v>
      </c>
      <c r="H33" s="2">
        <v>6</v>
      </c>
      <c r="I33" s="2">
        <v>65</v>
      </c>
      <c r="J33" t="str">
        <f t="shared" si="0"/>
        <v>Adult (36-59)</v>
      </c>
      <c r="K33" t="str">
        <f t="shared" si="1"/>
        <v>High (&gt;8k)</v>
      </c>
      <c r="L33" t="str">
        <f t="shared" si="2"/>
        <v>Medium (4-7 days)</v>
      </c>
      <c r="M33" t="str">
        <f t="shared" si="3"/>
        <v>Needs Attention</v>
      </c>
    </row>
    <row r="34" spans="1:13">
      <c r="A34" t="s">
        <v>69</v>
      </c>
      <c r="B34" t="s">
        <v>26</v>
      </c>
      <c r="C34" t="s">
        <v>44</v>
      </c>
      <c r="D34" t="s">
        <v>24</v>
      </c>
      <c r="E34" t="s">
        <v>21</v>
      </c>
      <c r="F34" s="2">
        <v>55</v>
      </c>
      <c r="G34" s="3">
        <v>2003</v>
      </c>
      <c r="H34" s="2">
        <v>3</v>
      </c>
      <c r="I34" s="2">
        <v>79</v>
      </c>
      <c r="J34" t="str">
        <f t="shared" si="0"/>
        <v>Adult (36-59)</v>
      </c>
      <c r="K34" t="str">
        <f t="shared" si="1"/>
        <v>Low (&lt;3k)</v>
      </c>
      <c r="L34" t="str">
        <f t="shared" si="2"/>
        <v>Short (1-3 days)</v>
      </c>
      <c r="M34" t="str">
        <f t="shared" si="3"/>
        <v>Good</v>
      </c>
    </row>
    <row r="35" spans="1:13">
      <c r="A35" t="s">
        <v>70</v>
      </c>
      <c r="B35" t="s">
        <v>26</v>
      </c>
      <c r="C35" t="s">
        <v>15</v>
      </c>
      <c r="D35" t="s">
        <v>38</v>
      </c>
      <c r="E35" t="s">
        <v>17</v>
      </c>
      <c r="F35" s="2">
        <v>71</v>
      </c>
      <c r="G35" s="3">
        <v>6604</v>
      </c>
      <c r="H35" s="2">
        <v>5</v>
      </c>
      <c r="I35" s="2">
        <v>91</v>
      </c>
      <c r="J35" t="str">
        <f t="shared" si="0"/>
        <v>Senior (60+)</v>
      </c>
      <c r="K35" t="str">
        <f t="shared" si="1"/>
        <v>Medium (3k-8k)</v>
      </c>
      <c r="L35" t="str">
        <f t="shared" si="2"/>
        <v>Medium (4-7 days)</v>
      </c>
      <c r="M35" t="str">
        <f t="shared" si="3"/>
        <v>Excellent</v>
      </c>
    </row>
    <row r="36" spans="1:13">
      <c r="A36" t="s">
        <v>71</v>
      </c>
      <c r="B36" t="s">
        <v>23</v>
      </c>
      <c r="C36" t="s">
        <v>15</v>
      </c>
      <c r="D36" t="s">
        <v>35</v>
      </c>
      <c r="E36" t="s">
        <v>17</v>
      </c>
      <c r="F36" s="2">
        <v>31</v>
      </c>
      <c r="G36" s="3">
        <v>7724</v>
      </c>
      <c r="H36" s="2">
        <v>11</v>
      </c>
      <c r="I36" s="2">
        <v>81</v>
      </c>
      <c r="J36" t="str">
        <f t="shared" si="0"/>
        <v>Young Adult (20-35)</v>
      </c>
      <c r="K36" t="str">
        <f t="shared" si="1"/>
        <v>Medium (3k-8k)</v>
      </c>
      <c r="L36" t="str">
        <f t="shared" si="2"/>
        <v>Long (8+ days)</v>
      </c>
      <c r="M36" t="str">
        <f t="shared" si="3"/>
        <v>Good</v>
      </c>
    </row>
    <row r="37" spans="1:13">
      <c r="A37" t="s">
        <v>72</v>
      </c>
      <c r="B37" t="s">
        <v>29</v>
      </c>
      <c r="C37" t="s">
        <v>44</v>
      </c>
      <c r="D37" t="s">
        <v>51</v>
      </c>
      <c r="E37" t="s">
        <v>17</v>
      </c>
      <c r="F37" s="2">
        <v>22</v>
      </c>
      <c r="G37" s="3">
        <v>3604</v>
      </c>
      <c r="H37" s="2">
        <v>1</v>
      </c>
      <c r="I37" s="2">
        <v>74</v>
      </c>
      <c r="J37" t="str">
        <f t="shared" si="0"/>
        <v>Young Adult (20-35)</v>
      </c>
      <c r="K37" t="str">
        <f t="shared" si="1"/>
        <v>Medium (3k-8k)</v>
      </c>
      <c r="L37" t="str">
        <f t="shared" si="2"/>
        <v>Short (1-3 days)</v>
      </c>
      <c r="M37" t="str">
        <f t="shared" si="3"/>
        <v>Good</v>
      </c>
    </row>
    <row r="38" spans="1:13">
      <c r="A38" t="s">
        <v>73</v>
      </c>
      <c r="B38" t="s">
        <v>48</v>
      </c>
      <c r="C38" t="s">
        <v>27</v>
      </c>
      <c r="D38" t="s">
        <v>31</v>
      </c>
      <c r="E38" t="s">
        <v>21</v>
      </c>
      <c r="F38" s="2">
        <v>72</v>
      </c>
      <c r="G38" s="3">
        <v>1555</v>
      </c>
      <c r="H38" s="2">
        <v>3</v>
      </c>
      <c r="I38" s="2">
        <v>81</v>
      </c>
      <c r="J38" t="str">
        <f t="shared" si="0"/>
        <v>Senior (60+)</v>
      </c>
      <c r="K38" t="str">
        <f t="shared" si="1"/>
        <v>Low (&lt;3k)</v>
      </c>
      <c r="L38" t="str">
        <f t="shared" si="2"/>
        <v>Short (1-3 days)</v>
      </c>
      <c r="M38" t="str">
        <f t="shared" si="3"/>
        <v>Good</v>
      </c>
    </row>
    <row r="39" spans="1:13">
      <c r="A39" t="s">
        <v>74</v>
      </c>
      <c r="B39" t="s">
        <v>26</v>
      </c>
      <c r="C39" t="s">
        <v>44</v>
      </c>
      <c r="D39" t="s">
        <v>31</v>
      </c>
      <c r="E39" t="s">
        <v>21</v>
      </c>
      <c r="F39" s="2">
        <v>8</v>
      </c>
      <c r="G39" s="3">
        <v>4941</v>
      </c>
      <c r="H39" s="2">
        <v>1</v>
      </c>
      <c r="I39" s="2">
        <v>97</v>
      </c>
      <c r="J39" t="str">
        <f t="shared" si="0"/>
        <v>Child (0-12)</v>
      </c>
      <c r="K39" t="str">
        <f t="shared" si="1"/>
        <v>Medium (3k-8k)</v>
      </c>
      <c r="L39" t="str">
        <f t="shared" si="2"/>
        <v>Short (1-3 days)</v>
      </c>
      <c r="M39" t="str">
        <f t="shared" si="3"/>
        <v>Excellent</v>
      </c>
    </row>
    <row r="40" spans="1:13">
      <c r="A40" t="s">
        <v>75</v>
      </c>
      <c r="B40" t="s">
        <v>48</v>
      </c>
      <c r="C40" t="s">
        <v>15</v>
      </c>
      <c r="D40" t="s">
        <v>16</v>
      </c>
      <c r="E40" t="s">
        <v>17</v>
      </c>
      <c r="F40" s="2">
        <v>65</v>
      </c>
      <c r="G40" s="3">
        <v>18970</v>
      </c>
      <c r="H40" s="2">
        <v>13</v>
      </c>
      <c r="I40" s="2">
        <v>60</v>
      </c>
      <c r="J40" t="str">
        <f t="shared" si="0"/>
        <v>Senior (60+)</v>
      </c>
      <c r="K40" t="str">
        <f t="shared" si="1"/>
        <v>High (&gt;8k)</v>
      </c>
      <c r="L40" t="str">
        <f t="shared" si="2"/>
        <v>Long (8+ days)</v>
      </c>
      <c r="M40" t="str">
        <f t="shared" si="3"/>
        <v>Needs Attention</v>
      </c>
    </row>
    <row r="41" spans="1:13">
      <c r="A41" t="s">
        <v>76</v>
      </c>
      <c r="B41" t="s">
        <v>19</v>
      </c>
      <c r="C41" t="s">
        <v>15</v>
      </c>
      <c r="D41" t="s">
        <v>46</v>
      </c>
      <c r="E41" t="s">
        <v>21</v>
      </c>
      <c r="F41" s="2">
        <v>9</v>
      </c>
      <c r="G41" s="3">
        <v>16062</v>
      </c>
      <c r="H41" s="2">
        <v>8</v>
      </c>
      <c r="I41" s="2">
        <v>75</v>
      </c>
      <c r="J41" t="str">
        <f t="shared" si="0"/>
        <v>Child (0-12)</v>
      </c>
      <c r="K41" t="str">
        <f t="shared" si="1"/>
        <v>High (&gt;8k)</v>
      </c>
      <c r="L41" t="str">
        <f t="shared" si="2"/>
        <v>Long (8+ days)</v>
      </c>
      <c r="M41" t="str">
        <f t="shared" si="3"/>
        <v>Good</v>
      </c>
    </row>
    <row r="42" spans="1:13">
      <c r="A42" t="s">
        <v>77</v>
      </c>
      <c r="B42" t="s">
        <v>19</v>
      </c>
      <c r="C42" t="s">
        <v>44</v>
      </c>
      <c r="D42" t="s">
        <v>20</v>
      </c>
      <c r="E42" t="s">
        <v>17</v>
      </c>
      <c r="F42" s="2">
        <v>80</v>
      </c>
      <c r="G42" s="3">
        <v>1171</v>
      </c>
      <c r="H42" s="2">
        <v>4</v>
      </c>
      <c r="I42" s="2">
        <v>92</v>
      </c>
      <c r="J42" t="str">
        <f t="shared" si="0"/>
        <v>Senior (60+)</v>
      </c>
      <c r="K42" t="str">
        <f t="shared" si="1"/>
        <v>Low (&lt;3k)</v>
      </c>
      <c r="L42" t="str">
        <f t="shared" si="2"/>
        <v>Medium (4-7 days)</v>
      </c>
      <c r="M42" t="str">
        <f t="shared" si="3"/>
        <v>Excellent</v>
      </c>
    </row>
    <row r="43" spans="1:13">
      <c r="A43" t="s">
        <v>78</v>
      </c>
      <c r="B43" t="s">
        <v>23</v>
      </c>
      <c r="C43" t="s">
        <v>30</v>
      </c>
      <c r="D43" t="s">
        <v>31</v>
      </c>
      <c r="E43" t="s">
        <v>21</v>
      </c>
      <c r="F43" s="2">
        <v>41</v>
      </c>
      <c r="G43" s="3">
        <v>2955</v>
      </c>
      <c r="H43" s="2">
        <v>6</v>
      </c>
      <c r="I43" s="2">
        <v>75</v>
      </c>
      <c r="J43" t="str">
        <f t="shared" si="0"/>
        <v>Adult (36-59)</v>
      </c>
      <c r="K43" t="str">
        <f t="shared" si="1"/>
        <v>Low (&lt;3k)</v>
      </c>
      <c r="L43" t="str">
        <f t="shared" si="2"/>
        <v>Medium (4-7 days)</v>
      </c>
      <c r="M43" t="str">
        <f t="shared" si="3"/>
        <v>Good</v>
      </c>
    </row>
    <row r="44" spans="1:13">
      <c r="A44" t="s">
        <v>79</v>
      </c>
      <c r="B44" t="s">
        <v>26</v>
      </c>
      <c r="C44" t="s">
        <v>30</v>
      </c>
      <c r="D44" t="s">
        <v>38</v>
      </c>
      <c r="E44" t="s">
        <v>21</v>
      </c>
      <c r="F44" s="2">
        <v>10</v>
      </c>
      <c r="G44" s="3">
        <v>1076</v>
      </c>
      <c r="H44" s="2">
        <v>9</v>
      </c>
      <c r="I44" s="2">
        <v>89</v>
      </c>
      <c r="J44" t="str">
        <f t="shared" si="0"/>
        <v>Child (0-12)</v>
      </c>
      <c r="K44" t="str">
        <f t="shared" si="1"/>
        <v>Low (&lt;3k)</v>
      </c>
      <c r="L44" t="str">
        <f t="shared" si="2"/>
        <v>Long (8+ days)</v>
      </c>
      <c r="M44" t="str">
        <f t="shared" si="3"/>
        <v>Excellent</v>
      </c>
    </row>
    <row r="45" spans="1:13">
      <c r="A45" t="s">
        <v>80</v>
      </c>
      <c r="B45" t="s">
        <v>23</v>
      </c>
      <c r="C45" t="s">
        <v>15</v>
      </c>
      <c r="D45" t="s">
        <v>35</v>
      </c>
      <c r="E45" t="s">
        <v>17</v>
      </c>
      <c r="F45" s="2">
        <v>65</v>
      </c>
      <c r="G45" s="3">
        <v>9345</v>
      </c>
      <c r="H45" s="2">
        <v>7</v>
      </c>
      <c r="I45" s="2">
        <v>72</v>
      </c>
      <c r="J45" t="str">
        <f t="shared" si="0"/>
        <v>Senior (60+)</v>
      </c>
      <c r="K45" t="str">
        <f t="shared" si="1"/>
        <v>High (&gt;8k)</v>
      </c>
      <c r="L45" t="str">
        <f t="shared" si="2"/>
        <v>Medium (4-7 days)</v>
      </c>
      <c r="M45" t="str">
        <f t="shared" si="3"/>
        <v>Good</v>
      </c>
    </row>
    <row r="46" spans="1:13">
      <c r="A46" t="s">
        <v>81</v>
      </c>
      <c r="B46" t="s">
        <v>19</v>
      </c>
      <c r="C46" t="s">
        <v>44</v>
      </c>
      <c r="D46" t="s">
        <v>33</v>
      </c>
      <c r="E46" t="s">
        <v>21</v>
      </c>
      <c r="F46" s="2">
        <v>57</v>
      </c>
      <c r="G46" s="3">
        <v>4950</v>
      </c>
      <c r="H46" s="2">
        <v>3</v>
      </c>
      <c r="I46" s="2">
        <v>89</v>
      </c>
      <c r="J46" t="str">
        <f t="shared" si="0"/>
        <v>Adult (36-59)</v>
      </c>
      <c r="K46" t="str">
        <f t="shared" si="1"/>
        <v>Medium (3k-8k)</v>
      </c>
      <c r="L46" t="str">
        <f t="shared" si="2"/>
        <v>Short (1-3 days)</v>
      </c>
      <c r="M46" t="str">
        <f t="shared" si="3"/>
        <v>Excellent</v>
      </c>
    </row>
    <row r="47" spans="1:13">
      <c r="A47" t="s">
        <v>82</v>
      </c>
      <c r="B47" t="s">
        <v>53</v>
      </c>
      <c r="C47" t="s">
        <v>15</v>
      </c>
      <c r="D47" t="s">
        <v>24</v>
      </c>
      <c r="E47" t="s">
        <v>21</v>
      </c>
      <c r="F47" s="2">
        <v>85</v>
      </c>
      <c r="G47" s="3">
        <v>6697</v>
      </c>
      <c r="H47" s="2">
        <v>7</v>
      </c>
      <c r="I47" s="2">
        <v>66</v>
      </c>
      <c r="J47" t="str">
        <f t="shared" si="0"/>
        <v>Senior (60+)</v>
      </c>
      <c r="K47" t="str">
        <f t="shared" si="1"/>
        <v>Medium (3k-8k)</v>
      </c>
      <c r="L47" t="str">
        <f t="shared" si="2"/>
        <v>Medium (4-7 days)</v>
      </c>
      <c r="M47" t="str">
        <f t="shared" si="3"/>
        <v>Needs Attention</v>
      </c>
    </row>
    <row r="48" spans="1:13">
      <c r="A48" t="s">
        <v>83</v>
      </c>
      <c r="B48" t="s">
        <v>19</v>
      </c>
      <c r="C48" t="s">
        <v>15</v>
      </c>
      <c r="D48" t="s">
        <v>24</v>
      </c>
      <c r="E48" t="s">
        <v>21</v>
      </c>
      <c r="F48" s="2">
        <v>37</v>
      </c>
      <c r="G48" s="3">
        <v>14909</v>
      </c>
      <c r="H48" s="2">
        <v>8</v>
      </c>
      <c r="I48" s="2">
        <v>95</v>
      </c>
      <c r="J48" t="str">
        <f t="shared" si="0"/>
        <v>Adult (36-59)</v>
      </c>
      <c r="K48" t="str">
        <f t="shared" si="1"/>
        <v>High (&gt;8k)</v>
      </c>
      <c r="L48" t="str">
        <f t="shared" si="2"/>
        <v>Long (8+ days)</v>
      </c>
      <c r="M48" t="str">
        <f t="shared" si="3"/>
        <v>Excellent</v>
      </c>
    </row>
    <row r="49" spans="1:13">
      <c r="A49" t="s">
        <v>84</v>
      </c>
      <c r="B49" t="s">
        <v>48</v>
      </c>
      <c r="C49" t="s">
        <v>44</v>
      </c>
      <c r="D49" t="s">
        <v>31</v>
      </c>
      <c r="E49" t="s">
        <v>17</v>
      </c>
      <c r="F49" s="2">
        <v>33</v>
      </c>
      <c r="G49" s="3">
        <v>916</v>
      </c>
      <c r="H49" s="2">
        <v>1</v>
      </c>
      <c r="I49" s="2">
        <v>90</v>
      </c>
      <c r="J49" t="str">
        <f t="shared" si="0"/>
        <v>Young Adult (20-35)</v>
      </c>
      <c r="K49" t="str">
        <f t="shared" si="1"/>
        <v>Low (&lt;3k)</v>
      </c>
      <c r="L49" t="str">
        <f t="shared" si="2"/>
        <v>Short (1-3 days)</v>
      </c>
      <c r="M49" t="str">
        <f t="shared" si="3"/>
        <v>Excellent</v>
      </c>
    </row>
    <row r="50" spans="1:13">
      <c r="A50" t="s">
        <v>85</v>
      </c>
      <c r="B50" t="s">
        <v>29</v>
      </c>
      <c r="C50" t="s">
        <v>30</v>
      </c>
      <c r="D50" t="s">
        <v>16</v>
      </c>
      <c r="E50" t="s">
        <v>21</v>
      </c>
      <c r="F50" s="2">
        <v>17</v>
      </c>
      <c r="G50" s="3">
        <v>6219</v>
      </c>
      <c r="H50" s="2">
        <v>6</v>
      </c>
      <c r="I50" s="2">
        <v>60</v>
      </c>
      <c r="J50" t="str">
        <f t="shared" si="0"/>
        <v>Teen (13-19)</v>
      </c>
      <c r="K50" t="str">
        <f t="shared" si="1"/>
        <v>Medium (3k-8k)</v>
      </c>
      <c r="L50" t="str">
        <f t="shared" si="2"/>
        <v>Medium (4-7 days)</v>
      </c>
      <c r="M50" t="str">
        <f t="shared" si="3"/>
        <v>Needs Attention</v>
      </c>
    </row>
    <row r="51" spans="1:13">
      <c r="A51" t="s">
        <v>86</v>
      </c>
      <c r="B51" t="s">
        <v>14</v>
      </c>
      <c r="C51" t="s">
        <v>27</v>
      </c>
      <c r="D51" t="s">
        <v>24</v>
      </c>
      <c r="E51" t="s">
        <v>17</v>
      </c>
      <c r="F51" s="2">
        <v>72</v>
      </c>
      <c r="G51" s="3">
        <v>219</v>
      </c>
      <c r="H51" s="2">
        <v>1</v>
      </c>
      <c r="I51" s="2">
        <v>54</v>
      </c>
      <c r="J51" t="str">
        <f t="shared" si="0"/>
        <v>Senior (60+)</v>
      </c>
      <c r="K51" t="str">
        <f t="shared" si="1"/>
        <v>Low (&lt;3k)</v>
      </c>
      <c r="L51" t="str">
        <f t="shared" si="2"/>
        <v>Short (1-3 days)</v>
      </c>
      <c r="M51" t="str">
        <f t="shared" si="3"/>
        <v>Needs Attention</v>
      </c>
    </row>
    <row r="52" spans="1:13">
      <c r="A52" t="s">
        <v>87</v>
      </c>
      <c r="B52" t="s">
        <v>14</v>
      </c>
      <c r="C52" t="s">
        <v>44</v>
      </c>
      <c r="D52" t="s">
        <v>24</v>
      </c>
      <c r="E52" t="s">
        <v>21</v>
      </c>
      <c r="F52" s="2">
        <v>48</v>
      </c>
      <c r="G52" s="3">
        <v>1713</v>
      </c>
      <c r="H52" s="2">
        <v>4</v>
      </c>
      <c r="I52" s="2">
        <v>58</v>
      </c>
      <c r="J52" t="str">
        <f t="shared" si="0"/>
        <v>Adult (36-59)</v>
      </c>
      <c r="K52" t="str">
        <f t="shared" si="1"/>
        <v>Low (&lt;3k)</v>
      </c>
      <c r="L52" t="str">
        <f t="shared" si="2"/>
        <v>Medium (4-7 days)</v>
      </c>
      <c r="M52" t="str">
        <f t="shared" si="3"/>
        <v>Needs Attention</v>
      </c>
    </row>
    <row r="53" spans="1:13">
      <c r="A53" t="s">
        <v>88</v>
      </c>
      <c r="B53" t="s">
        <v>19</v>
      </c>
      <c r="C53" t="s">
        <v>30</v>
      </c>
      <c r="D53" t="s">
        <v>33</v>
      </c>
      <c r="E53" t="s">
        <v>17</v>
      </c>
      <c r="F53" s="2">
        <v>6</v>
      </c>
      <c r="G53" s="3">
        <v>3931</v>
      </c>
      <c r="H53" s="2">
        <v>5</v>
      </c>
      <c r="I53" s="2">
        <v>93</v>
      </c>
      <c r="J53" t="str">
        <f t="shared" si="0"/>
        <v>Child (0-12)</v>
      </c>
      <c r="K53" t="str">
        <f t="shared" si="1"/>
        <v>Medium (3k-8k)</v>
      </c>
      <c r="L53" t="str">
        <f t="shared" si="2"/>
        <v>Medium (4-7 days)</v>
      </c>
      <c r="M53" t="str">
        <f t="shared" si="3"/>
        <v>Excellent</v>
      </c>
    </row>
    <row r="54" spans="1:13">
      <c r="A54" t="s">
        <v>89</v>
      </c>
      <c r="B54" t="s">
        <v>26</v>
      </c>
      <c r="C54" t="s">
        <v>15</v>
      </c>
      <c r="D54" t="s">
        <v>33</v>
      </c>
      <c r="E54" t="s">
        <v>17</v>
      </c>
      <c r="F54" s="2">
        <v>53</v>
      </c>
      <c r="G54" s="3">
        <v>15168</v>
      </c>
      <c r="H54" s="2">
        <v>7</v>
      </c>
      <c r="I54" s="2">
        <v>65</v>
      </c>
      <c r="J54" t="str">
        <f t="shared" si="0"/>
        <v>Adult (36-59)</v>
      </c>
      <c r="K54" t="str">
        <f t="shared" si="1"/>
        <v>High (&gt;8k)</v>
      </c>
      <c r="L54" t="str">
        <f t="shared" si="2"/>
        <v>Medium (4-7 days)</v>
      </c>
      <c r="M54" t="str">
        <f t="shared" si="3"/>
        <v>Needs Attention</v>
      </c>
    </row>
    <row r="55" spans="1:13">
      <c r="A55" t="s">
        <v>90</v>
      </c>
      <c r="B55" t="s">
        <v>53</v>
      </c>
      <c r="C55" t="s">
        <v>44</v>
      </c>
      <c r="D55" t="s">
        <v>46</v>
      </c>
      <c r="E55" t="s">
        <v>17</v>
      </c>
      <c r="F55" s="2">
        <v>4</v>
      </c>
      <c r="G55" s="3">
        <v>1969</v>
      </c>
      <c r="H55" s="2">
        <v>3</v>
      </c>
      <c r="I55" s="2">
        <v>100</v>
      </c>
      <c r="J55" t="str">
        <f t="shared" si="0"/>
        <v>Child (0-12)</v>
      </c>
      <c r="K55" t="str">
        <f t="shared" si="1"/>
        <v>Low (&lt;3k)</v>
      </c>
      <c r="L55" t="str">
        <f t="shared" si="2"/>
        <v>Short (1-3 days)</v>
      </c>
      <c r="M55" t="str">
        <f t="shared" si="3"/>
        <v>Excellent</v>
      </c>
    </row>
    <row r="56" spans="1:13">
      <c r="A56" t="s">
        <v>91</v>
      </c>
      <c r="B56" t="s">
        <v>29</v>
      </c>
      <c r="C56" t="s">
        <v>44</v>
      </c>
      <c r="D56" t="s">
        <v>31</v>
      </c>
      <c r="E56" t="s">
        <v>21</v>
      </c>
      <c r="F56" s="2">
        <v>90</v>
      </c>
      <c r="G56" s="3">
        <v>1385</v>
      </c>
      <c r="H56" s="2">
        <v>4</v>
      </c>
      <c r="I56" s="2">
        <v>52</v>
      </c>
      <c r="J56" t="str">
        <f t="shared" si="0"/>
        <v>Senior (60+)</v>
      </c>
      <c r="K56" t="str">
        <f t="shared" si="1"/>
        <v>Low (&lt;3k)</v>
      </c>
      <c r="L56" t="str">
        <f t="shared" si="2"/>
        <v>Medium (4-7 days)</v>
      </c>
      <c r="M56" t="str">
        <f t="shared" si="3"/>
        <v>Needs Attention</v>
      </c>
    </row>
    <row r="57" spans="1:13">
      <c r="A57" t="s">
        <v>92</v>
      </c>
      <c r="B57" t="s">
        <v>53</v>
      </c>
      <c r="C57" t="s">
        <v>27</v>
      </c>
      <c r="D57" t="s">
        <v>64</v>
      </c>
      <c r="E57" t="s">
        <v>21</v>
      </c>
      <c r="F57" s="2">
        <v>59</v>
      </c>
      <c r="G57" s="3">
        <v>916</v>
      </c>
      <c r="H57" s="2">
        <v>2</v>
      </c>
      <c r="I57" s="2">
        <v>100</v>
      </c>
      <c r="J57" t="str">
        <f t="shared" si="0"/>
        <v>Adult (36-59)</v>
      </c>
      <c r="K57" t="str">
        <f t="shared" si="1"/>
        <v>Low (&lt;3k)</v>
      </c>
      <c r="L57" t="str">
        <f t="shared" si="2"/>
        <v>Short (1-3 days)</v>
      </c>
      <c r="M57" t="str">
        <f t="shared" si="3"/>
        <v>Excellent</v>
      </c>
    </row>
    <row r="58" spans="1:13">
      <c r="A58" t="s">
        <v>93</v>
      </c>
      <c r="B58" t="s">
        <v>53</v>
      </c>
      <c r="C58" t="s">
        <v>44</v>
      </c>
      <c r="D58" t="s">
        <v>64</v>
      </c>
      <c r="E58" t="s">
        <v>21</v>
      </c>
      <c r="F58" s="2">
        <v>25</v>
      </c>
      <c r="G58" s="3">
        <v>3764</v>
      </c>
      <c r="H58" s="2">
        <v>3</v>
      </c>
      <c r="I58" s="2">
        <v>67</v>
      </c>
      <c r="J58" t="str">
        <f t="shared" si="0"/>
        <v>Young Adult (20-35)</v>
      </c>
      <c r="K58" t="str">
        <f t="shared" si="1"/>
        <v>Medium (3k-8k)</v>
      </c>
      <c r="L58" t="str">
        <f t="shared" si="2"/>
        <v>Short (1-3 days)</v>
      </c>
      <c r="M58" t="str">
        <f t="shared" si="3"/>
        <v>Needs Attention</v>
      </c>
    </row>
    <row r="59" spans="1:13">
      <c r="A59" t="s">
        <v>94</v>
      </c>
      <c r="B59" t="s">
        <v>53</v>
      </c>
      <c r="C59" t="s">
        <v>15</v>
      </c>
      <c r="D59" t="s">
        <v>31</v>
      </c>
      <c r="E59" t="s">
        <v>21</v>
      </c>
      <c r="F59" s="2">
        <v>66</v>
      </c>
      <c r="G59" s="3">
        <v>11548</v>
      </c>
      <c r="H59" s="2">
        <v>15</v>
      </c>
      <c r="I59" s="2">
        <v>84</v>
      </c>
      <c r="J59" t="str">
        <f t="shared" si="0"/>
        <v>Senior (60+)</v>
      </c>
      <c r="K59" t="str">
        <f t="shared" si="1"/>
        <v>High (&gt;8k)</v>
      </c>
      <c r="L59" t="str">
        <f t="shared" si="2"/>
        <v>Long (8+ days)</v>
      </c>
      <c r="M59" t="str">
        <f t="shared" si="3"/>
        <v>Good</v>
      </c>
    </row>
    <row r="60" spans="1:13">
      <c r="A60" t="s">
        <v>95</v>
      </c>
      <c r="B60" t="s">
        <v>48</v>
      </c>
      <c r="C60" t="s">
        <v>15</v>
      </c>
      <c r="D60" t="s">
        <v>35</v>
      </c>
      <c r="E60" t="s">
        <v>17</v>
      </c>
      <c r="F60" s="2">
        <v>34</v>
      </c>
      <c r="G60" s="3">
        <v>7925</v>
      </c>
      <c r="H60" s="2">
        <v>14</v>
      </c>
      <c r="I60" s="2">
        <v>66</v>
      </c>
      <c r="J60" t="str">
        <f t="shared" si="0"/>
        <v>Young Adult (20-35)</v>
      </c>
      <c r="K60" t="str">
        <f t="shared" si="1"/>
        <v>Medium (3k-8k)</v>
      </c>
      <c r="L60" t="str">
        <f t="shared" si="2"/>
        <v>Long (8+ days)</v>
      </c>
      <c r="M60" t="str">
        <f t="shared" si="3"/>
        <v>Needs Attention</v>
      </c>
    </row>
    <row r="61" spans="1:13">
      <c r="A61" t="s">
        <v>96</v>
      </c>
      <c r="B61" t="s">
        <v>19</v>
      </c>
      <c r="C61" t="s">
        <v>15</v>
      </c>
      <c r="D61" t="s">
        <v>20</v>
      </c>
      <c r="E61" t="s">
        <v>21</v>
      </c>
      <c r="F61" s="2">
        <v>41</v>
      </c>
      <c r="G61" s="3">
        <v>12149</v>
      </c>
      <c r="H61" s="2">
        <v>14</v>
      </c>
      <c r="I61" s="2">
        <v>82</v>
      </c>
      <c r="J61" t="str">
        <f t="shared" si="0"/>
        <v>Adult (36-59)</v>
      </c>
      <c r="K61" t="str">
        <f t="shared" si="1"/>
        <v>High (&gt;8k)</v>
      </c>
      <c r="L61" t="str">
        <f t="shared" si="2"/>
        <v>Long (8+ days)</v>
      </c>
      <c r="M61" t="str">
        <f t="shared" si="3"/>
        <v>Good</v>
      </c>
    </row>
    <row r="62" spans="1:13">
      <c r="A62" t="s">
        <v>97</v>
      </c>
      <c r="B62" t="s">
        <v>19</v>
      </c>
      <c r="C62" t="s">
        <v>27</v>
      </c>
      <c r="D62" t="s">
        <v>20</v>
      </c>
      <c r="E62" t="s">
        <v>21</v>
      </c>
      <c r="F62" s="2">
        <v>6</v>
      </c>
      <c r="G62" s="3">
        <v>1651</v>
      </c>
      <c r="H62" s="2">
        <v>2</v>
      </c>
      <c r="I62" s="2">
        <v>50</v>
      </c>
      <c r="J62" t="str">
        <f t="shared" si="0"/>
        <v>Child (0-12)</v>
      </c>
      <c r="K62" t="str">
        <f t="shared" si="1"/>
        <v>Low (&lt;3k)</v>
      </c>
      <c r="L62" t="str">
        <f t="shared" si="2"/>
        <v>Short (1-3 days)</v>
      </c>
      <c r="M62" t="str">
        <f t="shared" si="3"/>
        <v>Needs Attention</v>
      </c>
    </row>
    <row r="63" spans="1:13">
      <c r="A63" t="s">
        <v>98</v>
      </c>
      <c r="B63" t="s">
        <v>23</v>
      </c>
      <c r="C63" t="s">
        <v>44</v>
      </c>
      <c r="D63" t="s">
        <v>33</v>
      </c>
      <c r="E63" t="s">
        <v>21</v>
      </c>
      <c r="F63" s="2">
        <v>86</v>
      </c>
      <c r="G63" s="3">
        <v>3204</v>
      </c>
      <c r="H63" s="2">
        <v>5</v>
      </c>
      <c r="I63" s="2">
        <v>70</v>
      </c>
      <c r="J63" t="str">
        <f t="shared" si="0"/>
        <v>Senior (60+)</v>
      </c>
      <c r="K63" t="str">
        <f t="shared" si="1"/>
        <v>Medium (3k-8k)</v>
      </c>
      <c r="L63" t="str">
        <f t="shared" si="2"/>
        <v>Medium (4-7 days)</v>
      </c>
      <c r="M63" t="str">
        <f t="shared" si="3"/>
        <v>Good</v>
      </c>
    </row>
    <row r="64" spans="1:13">
      <c r="A64" t="s">
        <v>99</v>
      </c>
      <c r="B64" t="s">
        <v>14</v>
      </c>
      <c r="C64" t="s">
        <v>15</v>
      </c>
      <c r="D64" t="s">
        <v>31</v>
      </c>
      <c r="E64" t="s">
        <v>17</v>
      </c>
      <c r="F64" s="2">
        <v>86</v>
      </c>
      <c r="G64" s="3">
        <v>11691</v>
      </c>
      <c r="H64" s="2">
        <v>10</v>
      </c>
      <c r="I64" s="2">
        <v>75</v>
      </c>
      <c r="J64" t="str">
        <f t="shared" si="0"/>
        <v>Senior (60+)</v>
      </c>
      <c r="K64" t="str">
        <f t="shared" si="1"/>
        <v>High (&gt;8k)</v>
      </c>
      <c r="L64" t="str">
        <f t="shared" si="2"/>
        <v>Long (8+ days)</v>
      </c>
      <c r="M64" t="str">
        <f t="shared" si="3"/>
        <v>Good</v>
      </c>
    </row>
    <row r="65" spans="1:13">
      <c r="A65" t="s">
        <v>100</v>
      </c>
      <c r="B65" t="s">
        <v>14</v>
      </c>
      <c r="C65" t="s">
        <v>30</v>
      </c>
      <c r="D65" t="s">
        <v>24</v>
      </c>
      <c r="E65" t="s">
        <v>21</v>
      </c>
      <c r="F65" s="2">
        <v>54</v>
      </c>
      <c r="G65" s="3">
        <v>6447</v>
      </c>
      <c r="H65" s="2">
        <v>8</v>
      </c>
      <c r="I65" s="2">
        <v>93</v>
      </c>
      <c r="J65" t="str">
        <f t="shared" si="0"/>
        <v>Adult (36-59)</v>
      </c>
      <c r="K65" t="str">
        <f t="shared" si="1"/>
        <v>Medium (3k-8k)</v>
      </c>
      <c r="L65" t="str">
        <f t="shared" si="2"/>
        <v>Long (8+ days)</v>
      </c>
      <c r="M65" t="str">
        <f t="shared" si="3"/>
        <v>Excellent</v>
      </c>
    </row>
    <row r="66" spans="1:13">
      <c r="A66" t="s">
        <v>101</v>
      </c>
      <c r="B66" t="s">
        <v>14</v>
      </c>
      <c r="C66" t="s">
        <v>44</v>
      </c>
      <c r="D66" t="s">
        <v>20</v>
      </c>
      <c r="E66" t="s">
        <v>17</v>
      </c>
      <c r="F66" s="2">
        <v>52</v>
      </c>
      <c r="G66" s="3">
        <v>4988</v>
      </c>
      <c r="H66" s="2">
        <v>1</v>
      </c>
      <c r="I66" s="2">
        <v>69</v>
      </c>
      <c r="J66" t="str">
        <f t="shared" ref="J66:J129" si="4">IF(F66&lt;=12,"Child (0-12)",IF(F66&lt;=19,"Teen (13-19)",IF(F66&lt;=35,"Young Adult (20-35)",IF(F66&lt;=59,"Adult (36-59)","Senior (60+)"))))</f>
        <v>Adult (36-59)</v>
      </c>
      <c r="K66" t="str">
        <f t="shared" ref="K66:K129" si="5">IF(G66&lt;3000,"Low (&lt;3k)",IF(G66&lt;=8000,"Medium (3k-8k)","High (&gt;8k)"))</f>
        <v>Medium (3k-8k)</v>
      </c>
      <c r="L66" t="str">
        <f t="shared" ref="L66:L129" si="6">IF(H66&lt;=3,"Short (1-3 days)",IF(H66&lt;=7,"Medium (4-7 days)","Long (8+ days)"))</f>
        <v>Short (1-3 days)</v>
      </c>
      <c r="M66" t="str">
        <f t="shared" ref="M66:M129" si="7">IF(I66&gt;=85,"Excellent",IF(I66&gt;=70,"Good","Needs Attention"))</f>
        <v>Needs Attention</v>
      </c>
    </row>
    <row r="67" spans="1:13">
      <c r="A67" t="s">
        <v>102</v>
      </c>
      <c r="B67" t="s">
        <v>48</v>
      </c>
      <c r="C67" t="s">
        <v>44</v>
      </c>
      <c r="D67" t="s">
        <v>51</v>
      </c>
      <c r="E67" t="s">
        <v>17</v>
      </c>
      <c r="F67" s="2">
        <v>78</v>
      </c>
      <c r="G67" s="3">
        <v>3139</v>
      </c>
      <c r="H67" s="2">
        <v>4</v>
      </c>
      <c r="I67" s="2">
        <v>78</v>
      </c>
      <c r="J67" t="str">
        <f t="shared" si="4"/>
        <v>Senior (60+)</v>
      </c>
      <c r="K67" t="str">
        <f t="shared" si="5"/>
        <v>Medium (3k-8k)</v>
      </c>
      <c r="L67" t="str">
        <f t="shared" si="6"/>
        <v>Medium (4-7 days)</v>
      </c>
      <c r="M67" t="str">
        <f t="shared" si="7"/>
        <v>Good</v>
      </c>
    </row>
    <row r="68" spans="1:13">
      <c r="A68" t="s">
        <v>103</v>
      </c>
      <c r="B68" t="s">
        <v>29</v>
      </c>
      <c r="C68" t="s">
        <v>44</v>
      </c>
      <c r="D68" t="s">
        <v>24</v>
      </c>
      <c r="E68" t="s">
        <v>21</v>
      </c>
      <c r="F68" s="2">
        <v>22</v>
      </c>
      <c r="G68" s="3">
        <v>1194</v>
      </c>
      <c r="H68" s="2">
        <v>3</v>
      </c>
      <c r="I68" s="2">
        <v>82</v>
      </c>
      <c r="J68" t="str">
        <f t="shared" si="4"/>
        <v>Young Adult (20-35)</v>
      </c>
      <c r="K68" t="str">
        <f t="shared" si="5"/>
        <v>Low (&lt;3k)</v>
      </c>
      <c r="L68" t="str">
        <f t="shared" si="6"/>
        <v>Short (1-3 days)</v>
      </c>
      <c r="M68" t="str">
        <f t="shared" si="7"/>
        <v>Good</v>
      </c>
    </row>
    <row r="69" spans="1:13">
      <c r="A69" t="s">
        <v>104</v>
      </c>
      <c r="B69" t="s">
        <v>14</v>
      </c>
      <c r="C69" t="s">
        <v>30</v>
      </c>
      <c r="D69" t="s">
        <v>35</v>
      </c>
      <c r="E69" t="s">
        <v>17</v>
      </c>
      <c r="F69" s="2">
        <v>31</v>
      </c>
      <c r="G69" s="3">
        <v>6511</v>
      </c>
      <c r="H69" s="2">
        <v>6</v>
      </c>
      <c r="I69" s="2">
        <v>64</v>
      </c>
      <c r="J69" t="str">
        <f t="shared" si="4"/>
        <v>Young Adult (20-35)</v>
      </c>
      <c r="K69" t="str">
        <f t="shared" si="5"/>
        <v>Medium (3k-8k)</v>
      </c>
      <c r="L69" t="str">
        <f t="shared" si="6"/>
        <v>Medium (4-7 days)</v>
      </c>
      <c r="M69" t="str">
        <f t="shared" si="7"/>
        <v>Needs Attention</v>
      </c>
    </row>
    <row r="70" spans="1:13">
      <c r="A70" t="s">
        <v>105</v>
      </c>
      <c r="B70" t="s">
        <v>53</v>
      </c>
      <c r="C70" t="s">
        <v>44</v>
      </c>
      <c r="D70" t="s">
        <v>46</v>
      </c>
      <c r="E70" t="s">
        <v>21</v>
      </c>
      <c r="F70" s="2">
        <v>32</v>
      </c>
      <c r="G70" s="3">
        <v>4392</v>
      </c>
      <c r="H70" s="2">
        <v>5</v>
      </c>
      <c r="I70" s="2">
        <v>99</v>
      </c>
      <c r="J70" t="str">
        <f t="shared" si="4"/>
        <v>Young Adult (20-35)</v>
      </c>
      <c r="K70" t="str">
        <f t="shared" si="5"/>
        <v>Medium (3k-8k)</v>
      </c>
      <c r="L70" t="str">
        <f t="shared" si="6"/>
        <v>Medium (4-7 days)</v>
      </c>
      <c r="M70" t="str">
        <f t="shared" si="7"/>
        <v>Excellent</v>
      </c>
    </row>
    <row r="71" spans="1:13">
      <c r="A71" t="s">
        <v>106</v>
      </c>
      <c r="B71" t="s">
        <v>19</v>
      </c>
      <c r="C71" t="s">
        <v>27</v>
      </c>
      <c r="D71" t="s">
        <v>51</v>
      </c>
      <c r="E71" t="s">
        <v>17</v>
      </c>
      <c r="F71" s="2">
        <v>74</v>
      </c>
      <c r="G71" s="3">
        <v>598</v>
      </c>
      <c r="H71" s="2">
        <v>3</v>
      </c>
      <c r="I71" s="2">
        <v>94</v>
      </c>
      <c r="J71" t="str">
        <f t="shared" si="4"/>
        <v>Senior (60+)</v>
      </c>
      <c r="K71" t="str">
        <f t="shared" si="5"/>
        <v>Low (&lt;3k)</v>
      </c>
      <c r="L71" t="str">
        <f t="shared" si="6"/>
        <v>Short (1-3 days)</v>
      </c>
      <c r="M71" t="str">
        <f t="shared" si="7"/>
        <v>Excellent</v>
      </c>
    </row>
    <row r="72" spans="1:13">
      <c r="A72" t="s">
        <v>107</v>
      </c>
      <c r="B72" t="s">
        <v>29</v>
      </c>
      <c r="C72" t="s">
        <v>27</v>
      </c>
      <c r="D72" t="s">
        <v>51</v>
      </c>
      <c r="E72" t="s">
        <v>21</v>
      </c>
      <c r="F72" s="2">
        <v>84</v>
      </c>
      <c r="G72" s="3">
        <v>1608</v>
      </c>
      <c r="H72" s="2">
        <v>1</v>
      </c>
      <c r="I72" s="2">
        <v>98</v>
      </c>
      <c r="J72" t="str">
        <f t="shared" si="4"/>
        <v>Senior (60+)</v>
      </c>
      <c r="K72" t="str">
        <f t="shared" si="5"/>
        <v>Low (&lt;3k)</v>
      </c>
      <c r="L72" t="str">
        <f t="shared" si="6"/>
        <v>Short (1-3 days)</v>
      </c>
      <c r="M72" t="str">
        <f t="shared" si="7"/>
        <v>Excellent</v>
      </c>
    </row>
    <row r="73" spans="1:13">
      <c r="A73" t="s">
        <v>108</v>
      </c>
      <c r="B73" t="s">
        <v>53</v>
      </c>
      <c r="C73" t="s">
        <v>15</v>
      </c>
      <c r="D73" t="s">
        <v>51</v>
      </c>
      <c r="E73" t="s">
        <v>21</v>
      </c>
      <c r="F73" s="2">
        <v>90</v>
      </c>
      <c r="G73" s="3">
        <v>13486</v>
      </c>
      <c r="H73" s="2">
        <v>12</v>
      </c>
      <c r="I73" s="2">
        <v>53</v>
      </c>
      <c r="J73" t="str">
        <f t="shared" si="4"/>
        <v>Senior (60+)</v>
      </c>
      <c r="K73" t="str">
        <f t="shared" si="5"/>
        <v>High (&gt;8k)</v>
      </c>
      <c r="L73" t="str">
        <f t="shared" si="6"/>
        <v>Long (8+ days)</v>
      </c>
      <c r="M73" t="str">
        <f t="shared" si="7"/>
        <v>Needs Attention</v>
      </c>
    </row>
    <row r="74" spans="1:13">
      <c r="A74" t="s">
        <v>109</v>
      </c>
      <c r="B74" t="s">
        <v>23</v>
      </c>
      <c r="C74" t="s">
        <v>44</v>
      </c>
      <c r="D74" t="s">
        <v>35</v>
      </c>
      <c r="E74" t="s">
        <v>21</v>
      </c>
      <c r="F74" s="2">
        <v>60</v>
      </c>
      <c r="G74" s="3">
        <v>4851</v>
      </c>
      <c r="H74" s="2">
        <v>5</v>
      </c>
      <c r="I74" s="2">
        <v>88</v>
      </c>
      <c r="J74" t="str">
        <f t="shared" si="4"/>
        <v>Senior (60+)</v>
      </c>
      <c r="K74" t="str">
        <f t="shared" si="5"/>
        <v>Medium (3k-8k)</v>
      </c>
      <c r="L74" t="str">
        <f t="shared" si="6"/>
        <v>Medium (4-7 days)</v>
      </c>
      <c r="M74" t="str">
        <f t="shared" si="7"/>
        <v>Excellent</v>
      </c>
    </row>
    <row r="75" spans="1:13">
      <c r="A75" t="s">
        <v>110</v>
      </c>
      <c r="B75" t="s">
        <v>48</v>
      </c>
      <c r="C75" t="s">
        <v>27</v>
      </c>
      <c r="D75" t="s">
        <v>20</v>
      </c>
      <c r="E75" t="s">
        <v>17</v>
      </c>
      <c r="F75" s="2">
        <v>65</v>
      </c>
      <c r="G75" s="3">
        <v>1073</v>
      </c>
      <c r="H75" s="2">
        <v>3</v>
      </c>
      <c r="I75" s="2">
        <v>78</v>
      </c>
      <c r="J75" t="str">
        <f t="shared" si="4"/>
        <v>Senior (60+)</v>
      </c>
      <c r="K75" t="str">
        <f t="shared" si="5"/>
        <v>Low (&lt;3k)</v>
      </c>
      <c r="L75" t="str">
        <f t="shared" si="6"/>
        <v>Short (1-3 days)</v>
      </c>
      <c r="M75" t="str">
        <f t="shared" si="7"/>
        <v>Good</v>
      </c>
    </row>
    <row r="76" spans="1:13">
      <c r="A76" t="s">
        <v>111</v>
      </c>
      <c r="B76" t="s">
        <v>26</v>
      </c>
      <c r="C76" t="s">
        <v>27</v>
      </c>
      <c r="D76" t="s">
        <v>38</v>
      </c>
      <c r="E76" t="s">
        <v>21</v>
      </c>
      <c r="F76" s="2">
        <v>32</v>
      </c>
      <c r="G76" s="3">
        <v>1920</v>
      </c>
      <c r="H76" s="2">
        <v>3</v>
      </c>
      <c r="I76" s="2">
        <v>67</v>
      </c>
      <c r="J76" t="str">
        <f t="shared" si="4"/>
        <v>Young Adult (20-35)</v>
      </c>
      <c r="K76" t="str">
        <f t="shared" si="5"/>
        <v>Low (&lt;3k)</v>
      </c>
      <c r="L76" t="str">
        <f t="shared" si="6"/>
        <v>Short (1-3 days)</v>
      </c>
      <c r="M76" t="str">
        <f t="shared" si="7"/>
        <v>Needs Attention</v>
      </c>
    </row>
    <row r="77" spans="1:13">
      <c r="A77" t="s">
        <v>112</v>
      </c>
      <c r="B77" t="s">
        <v>53</v>
      </c>
      <c r="C77" t="s">
        <v>27</v>
      </c>
      <c r="D77" t="s">
        <v>64</v>
      </c>
      <c r="E77" t="s">
        <v>21</v>
      </c>
      <c r="F77" s="2">
        <v>10</v>
      </c>
      <c r="G77" s="3">
        <v>1661</v>
      </c>
      <c r="H77" s="2">
        <v>2</v>
      </c>
      <c r="I77" s="2">
        <v>65</v>
      </c>
      <c r="J77" t="str">
        <f t="shared" si="4"/>
        <v>Child (0-12)</v>
      </c>
      <c r="K77" t="str">
        <f t="shared" si="5"/>
        <v>Low (&lt;3k)</v>
      </c>
      <c r="L77" t="str">
        <f t="shared" si="6"/>
        <v>Short (1-3 days)</v>
      </c>
      <c r="M77" t="str">
        <f t="shared" si="7"/>
        <v>Needs Attention</v>
      </c>
    </row>
    <row r="78" spans="1:13">
      <c r="A78" t="s">
        <v>113</v>
      </c>
      <c r="B78" t="s">
        <v>48</v>
      </c>
      <c r="C78" t="s">
        <v>30</v>
      </c>
      <c r="D78" t="s">
        <v>33</v>
      </c>
      <c r="E78" t="s">
        <v>17</v>
      </c>
      <c r="F78" s="2">
        <v>11</v>
      </c>
      <c r="G78" s="3">
        <v>2133</v>
      </c>
      <c r="H78" s="2">
        <v>4</v>
      </c>
      <c r="I78" s="2">
        <v>64</v>
      </c>
      <c r="J78" t="str">
        <f t="shared" si="4"/>
        <v>Child (0-12)</v>
      </c>
      <c r="K78" t="str">
        <f t="shared" si="5"/>
        <v>Low (&lt;3k)</v>
      </c>
      <c r="L78" t="str">
        <f t="shared" si="6"/>
        <v>Medium (4-7 days)</v>
      </c>
      <c r="M78" t="str">
        <f t="shared" si="7"/>
        <v>Needs Attention</v>
      </c>
    </row>
    <row r="79" spans="1:13">
      <c r="A79" t="s">
        <v>114</v>
      </c>
      <c r="B79" t="s">
        <v>29</v>
      </c>
      <c r="C79" t="s">
        <v>44</v>
      </c>
      <c r="D79" t="s">
        <v>64</v>
      </c>
      <c r="E79" t="s">
        <v>21</v>
      </c>
      <c r="F79" s="2">
        <v>53</v>
      </c>
      <c r="G79" s="3">
        <v>3210</v>
      </c>
      <c r="H79" s="2">
        <v>5</v>
      </c>
      <c r="I79" s="2">
        <v>79</v>
      </c>
      <c r="J79" t="str">
        <f t="shared" si="4"/>
        <v>Adult (36-59)</v>
      </c>
      <c r="K79" t="str">
        <f t="shared" si="5"/>
        <v>Medium (3k-8k)</v>
      </c>
      <c r="L79" t="str">
        <f t="shared" si="6"/>
        <v>Medium (4-7 days)</v>
      </c>
      <c r="M79" t="str">
        <f t="shared" si="7"/>
        <v>Good</v>
      </c>
    </row>
    <row r="80" spans="1:13">
      <c r="A80" t="s">
        <v>115</v>
      </c>
      <c r="B80" t="s">
        <v>29</v>
      </c>
      <c r="C80" t="s">
        <v>15</v>
      </c>
      <c r="D80" t="s">
        <v>64</v>
      </c>
      <c r="E80" t="s">
        <v>17</v>
      </c>
      <c r="F80" s="2">
        <v>50</v>
      </c>
      <c r="G80" s="3">
        <v>19824</v>
      </c>
      <c r="H80" s="2">
        <v>14</v>
      </c>
      <c r="I80" s="2">
        <v>94</v>
      </c>
      <c r="J80" t="str">
        <f t="shared" si="4"/>
        <v>Adult (36-59)</v>
      </c>
      <c r="K80" t="str">
        <f t="shared" si="5"/>
        <v>High (&gt;8k)</v>
      </c>
      <c r="L80" t="str">
        <f t="shared" si="6"/>
        <v>Long (8+ days)</v>
      </c>
      <c r="M80" t="str">
        <f t="shared" si="7"/>
        <v>Excellent</v>
      </c>
    </row>
    <row r="81" spans="1:13">
      <c r="A81" t="s">
        <v>116</v>
      </c>
      <c r="B81" t="s">
        <v>19</v>
      </c>
      <c r="C81" t="s">
        <v>27</v>
      </c>
      <c r="D81" t="s">
        <v>38</v>
      </c>
      <c r="E81" t="s">
        <v>21</v>
      </c>
      <c r="F81" s="2">
        <v>46</v>
      </c>
      <c r="G81" s="3">
        <v>811</v>
      </c>
      <c r="H81" s="2">
        <v>2</v>
      </c>
      <c r="I81" s="2">
        <v>76</v>
      </c>
      <c r="J81" t="str">
        <f t="shared" si="4"/>
        <v>Adult (36-59)</v>
      </c>
      <c r="K81" t="str">
        <f t="shared" si="5"/>
        <v>Low (&lt;3k)</v>
      </c>
      <c r="L81" t="str">
        <f t="shared" si="6"/>
        <v>Short (1-3 days)</v>
      </c>
      <c r="M81" t="str">
        <f t="shared" si="7"/>
        <v>Good</v>
      </c>
    </row>
    <row r="82" spans="1:13">
      <c r="A82" t="s">
        <v>117</v>
      </c>
      <c r="B82" t="s">
        <v>23</v>
      </c>
      <c r="C82" t="s">
        <v>44</v>
      </c>
      <c r="D82" t="s">
        <v>38</v>
      </c>
      <c r="E82" t="s">
        <v>21</v>
      </c>
      <c r="F82" s="2">
        <v>56</v>
      </c>
      <c r="G82" s="3">
        <v>4478</v>
      </c>
      <c r="H82" s="2">
        <v>1</v>
      </c>
      <c r="I82" s="2">
        <v>74</v>
      </c>
      <c r="J82" t="str">
        <f t="shared" si="4"/>
        <v>Adult (36-59)</v>
      </c>
      <c r="K82" t="str">
        <f t="shared" si="5"/>
        <v>Medium (3k-8k)</v>
      </c>
      <c r="L82" t="str">
        <f t="shared" si="6"/>
        <v>Short (1-3 days)</v>
      </c>
      <c r="M82" t="str">
        <f t="shared" si="7"/>
        <v>Good</v>
      </c>
    </row>
    <row r="83" spans="1:13">
      <c r="A83" t="s">
        <v>118</v>
      </c>
      <c r="B83" t="s">
        <v>48</v>
      </c>
      <c r="C83" t="s">
        <v>27</v>
      </c>
      <c r="D83" t="s">
        <v>46</v>
      </c>
      <c r="E83" t="s">
        <v>17</v>
      </c>
      <c r="F83" s="2">
        <v>17</v>
      </c>
      <c r="G83" s="3">
        <v>1474</v>
      </c>
      <c r="H83" s="2">
        <v>3</v>
      </c>
      <c r="I83" s="2">
        <v>51</v>
      </c>
      <c r="J83" t="str">
        <f t="shared" si="4"/>
        <v>Teen (13-19)</v>
      </c>
      <c r="K83" t="str">
        <f t="shared" si="5"/>
        <v>Low (&lt;3k)</v>
      </c>
      <c r="L83" t="str">
        <f t="shared" si="6"/>
        <v>Short (1-3 days)</v>
      </c>
      <c r="M83" t="str">
        <f t="shared" si="7"/>
        <v>Needs Attention</v>
      </c>
    </row>
    <row r="84" spans="1:13">
      <c r="A84" t="s">
        <v>119</v>
      </c>
      <c r="B84" t="s">
        <v>29</v>
      </c>
      <c r="C84" t="s">
        <v>15</v>
      </c>
      <c r="D84" t="s">
        <v>35</v>
      </c>
      <c r="E84" t="s">
        <v>17</v>
      </c>
      <c r="F84" s="2">
        <v>18</v>
      </c>
      <c r="G84" s="3">
        <v>19202</v>
      </c>
      <c r="H84" s="2">
        <v>12</v>
      </c>
      <c r="I84" s="2">
        <v>61</v>
      </c>
      <c r="J84" t="str">
        <f t="shared" si="4"/>
        <v>Teen (13-19)</v>
      </c>
      <c r="K84" t="str">
        <f t="shared" si="5"/>
        <v>High (&gt;8k)</v>
      </c>
      <c r="L84" t="str">
        <f t="shared" si="6"/>
        <v>Long (8+ days)</v>
      </c>
      <c r="M84" t="str">
        <f t="shared" si="7"/>
        <v>Needs Attention</v>
      </c>
    </row>
    <row r="85" spans="1:13">
      <c r="A85" t="s">
        <v>120</v>
      </c>
      <c r="B85" t="s">
        <v>19</v>
      </c>
      <c r="C85" t="s">
        <v>30</v>
      </c>
      <c r="D85" t="s">
        <v>51</v>
      </c>
      <c r="E85" t="s">
        <v>21</v>
      </c>
      <c r="F85" s="2">
        <v>59</v>
      </c>
      <c r="G85" s="3">
        <v>3677</v>
      </c>
      <c r="H85" s="2">
        <v>7</v>
      </c>
      <c r="I85" s="2">
        <v>98</v>
      </c>
      <c r="J85" t="str">
        <f t="shared" si="4"/>
        <v>Adult (36-59)</v>
      </c>
      <c r="K85" t="str">
        <f t="shared" si="5"/>
        <v>Medium (3k-8k)</v>
      </c>
      <c r="L85" t="str">
        <f t="shared" si="6"/>
        <v>Medium (4-7 days)</v>
      </c>
      <c r="M85" t="str">
        <f t="shared" si="7"/>
        <v>Excellent</v>
      </c>
    </row>
    <row r="86" spans="1:13">
      <c r="A86" t="s">
        <v>121</v>
      </c>
      <c r="B86" t="s">
        <v>29</v>
      </c>
      <c r="C86" t="s">
        <v>30</v>
      </c>
      <c r="D86" t="s">
        <v>51</v>
      </c>
      <c r="E86" t="s">
        <v>21</v>
      </c>
      <c r="F86" s="2">
        <v>11</v>
      </c>
      <c r="G86" s="3">
        <v>4852</v>
      </c>
      <c r="H86" s="2">
        <v>2</v>
      </c>
      <c r="I86" s="2">
        <v>97</v>
      </c>
      <c r="J86" t="str">
        <f t="shared" si="4"/>
        <v>Child (0-12)</v>
      </c>
      <c r="K86" t="str">
        <f t="shared" si="5"/>
        <v>Medium (3k-8k)</v>
      </c>
      <c r="L86" t="str">
        <f t="shared" si="6"/>
        <v>Short (1-3 days)</v>
      </c>
      <c r="M86" t="str">
        <f t="shared" si="7"/>
        <v>Excellent</v>
      </c>
    </row>
    <row r="87" spans="1:13">
      <c r="A87" t="s">
        <v>122</v>
      </c>
      <c r="B87" t="s">
        <v>23</v>
      </c>
      <c r="C87" t="s">
        <v>15</v>
      </c>
      <c r="D87" t="s">
        <v>33</v>
      </c>
      <c r="E87" t="s">
        <v>21</v>
      </c>
      <c r="F87" s="2">
        <v>9</v>
      </c>
      <c r="G87" s="3">
        <v>17799</v>
      </c>
      <c r="H87" s="2">
        <v>15</v>
      </c>
      <c r="I87" s="2">
        <v>52</v>
      </c>
      <c r="J87" t="str">
        <f t="shared" si="4"/>
        <v>Child (0-12)</v>
      </c>
      <c r="K87" t="str">
        <f t="shared" si="5"/>
        <v>High (&gt;8k)</v>
      </c>
      <c r="L87" t="str">
        <f t="shared" si="6"/>
        <v>Long (8+ days)</v>
      </c>
      <c r="M87" t="str">
        <f t="shared" si="7"/>
        <v>Needs Attention</v>
      </c>
    </row>
    <row r="88" spans="1:13">
      <c r="A88" t="s">
        <v>123</v>
      </c>
      <c r="B88" t="s">
        <v>53</v>
      </c>
      <c r="C88" t="s">
        <v>15</v>
      </c>
      <c r="D88" t="s">
        <v>64</v>
      </c>
      <c r="E88" t="s">
        <v>21</v>
      </c>
      <c r="F88" s="2">
        <v>3</v>
      </c>
      <c r="G88" s="3">
        <v>15179</v>
      </c>
      <c r="H88" s="2">
        <v>7</v>
      </c>
      <c r="I88" s="2">
        <v>65</v>
      </c>
      <c r="J88" t="str">
        <f t="shared" si="4"/>
        <v>Child (0-12)</v>
      </c>
      <c r="K88" t="str">
        <f t="shared" si="5"/>
        <v>High (&gt;8k)</v>
      </c>
      <c r="L88" t="str">
        <f t="shared" si="6"/>
        <v>Medium (4-7 days)</v>
      </c>
      <c r="M88" t="str">
        <f t="shared" si="7"/>
        <v>Needs Attention</v>
      </c>
    </row>
    <row r="89" spans="1:13">
      <c r="A89" t="s">
        <v>124</v>
      </c>
      <c r="B89" t="s">
        <v>26</v>
      </c>
      <c r="C89" t="s">
        <v>27</v>
      </c>
      <c r="D89" t="s">
        <v>35</v>
      </c>
      <c r="E89" t="s">
        <v>17</v>
      </c>
      <c r="F89" s="2">
        <v>28</v>
      </c>
      <c r="G89" s="3">
        <v>1152</v>
      </c>
      <c r="H89" s="2">
        <v>3</v>
      </c>
      <c r="I89" s="2">
        <v>66</v>
      </c>
      <c r="J89" t="str">
        <f t="shared" si="4"/>
        <v>Young Adult (20-35)</v>
      </c>
      <c r="K89" t="str">
        <f t="shared" si="5"/>
        <v>Low (&lt;3k)</v>
      </c>
      <c r="L89" t="str">
        <f t="shared" si="6"/>
        <v>Short (1-3 days)</v>
      </c>
      <c r="M89" t="str">
        <f t="shared" si="7"/>
        <v>Needs Attention</v>
      </c>
    </row>
    <row r="90" spans="1:13">
      <c r="A90" t="s">
        <v>125</v>
      </c>
      <c r="B90" t="s">
        <v>53</v>
      </c>
      <c r="C90" t="s">
        <v>30</v>
      </c>
      <c r="D90" t="s">
        <v>46</v>
      </c>
      <c r="E90" t="s">
        <v>17</v>
      </c>
      <c r="F90" s="2">
        <v>15</v>
      </c>
      <c r="G90" s="3">
        <v>2341</v>
      </c>
      <c r="H90" s="2">
        <v>6</v>
      </c>
      <c r="I90" s="2">
        <v>56</v>
      </c>
      <c r="J90" t="str">
        <f t="shared" si="4"/>
        <v>Teen (13-19)</v>
      </c>
      <c r="K90" t="str">
        <f t="shared" si="5"/>
        <v>Low (&lt;3k)</v>
      </c>
      <c r="L90" t="str">
        <f t="shared" si="6"/>
        <v>Medium (4-7 days)</v>
      </c>
      <c r="M90" t="str">
        <f t="shared" si="7"/>
        <v>Needs Attention</v>
      </c>
    </row>
    <row r="91" spans="1:13">
      <c r="A91" t="s">
        <v>126</v>
      </c>
      <c r="B91" t="s">
        <v>23</v>
      </c>
      <c r="C91" t="s">
        <v>15</v>
      </c>
      <c r="D91" t="s">
        <v>31</v>
      </c>
      <c r="E91" t="s">
        <v>17</v>
      </c>
      <c r="F91" s="2">
        <v>49</v>
      </c>
      <c r="G91" s="3">
        <v>11498</v>
      </c>
      <c r="H91" s="2">
        <v>8</v>
      </c>
      <c r="I91" s="2">
        <v>54</v>
      </c>
      <c r="J91" t="str">
        <f t="shared" si="4"/>
        <v>Adult (36-59)</v>
      </c>
      <c r="K91" t="str">
        <f t="shared" si="5"/>
        <v>High (&gt;8k)</v>
      </c>
      <c r="L91" t="str">
        <f t="shared" si="6"/>
        <v>Long (8+ days)</v>
      </c>
      <c r="M91" t="str">
        <f t="shared" si="7"/>
        <v>Needs Attention</v>
      </c>
    </row>
    <row r="92" spans="1:13">
      <c r="A92" t="s">
        <v>127</v>
      </c>
      <c r="B92" t="s">
        <v>23</v>
      </c>
      <c r="C92" t="s">
        <v>44</v>
      </c>
      <c r="D92" t="s">
        <v>35</v>
      </c>
      <c r="E92" t="s">
        <v>17</v>
      </c>
      <c r="F92" s="2">
        <v>39</v>
      </c>
      <c r="G92" s="3">
        <v>1491</v>
      </c>
      <c r="H92" s="2">
        <v>5</v>
      </c>
      <c r="I92" s="2">
        <v>100</v>
      </c>
      <c r="J92" t="str">
        <f t="shared" si="4"/>
        <v>Adult (36-59)</v>
      </c>
      <c r="K92" t="str">
        <f t="shared" si="5"/>
        <v>Low (&lt;3k)</v>
      </c>
      <c r="L92" t="str">
        <f t="shared" si="6"/>
        <v>Medium (4-7 days)</v>
      </c>
      <c r="M92" t="str">
        <f t="shared" si="7"/>
        <v>Excellent</v>
      </c>
    </row>
    <row r="93" spans="1:13">
      <c r="A93" t="s">
        <v>128</v>
      </c>
      <c r="B93" t="s">
        <v>19</v>
      </c>
      <c r="C93" t="s">
        <v>30</v>
      </c>
      <c r="D93" t="s">
        <v>24</v>
      </c>
      <c r="E93" t="s">
        <v>21</v>
      </c>
      <c r="F93" s="2">
        <v>48</v>
      </c>
      <c r="G93" s="3">
        <v>1564</v>
      </c>
      <c r="H93" s="2">
        <v>10</v>
      </c>
      <c r="I93" s="2">
        <v>91</v>
      </c>
      <c r="J93" t="str">
        <f t="shared" si="4"/>
        <v>Adult (36-59)</v>
      </c>
      <c r="K93" t="str">
        <f t="shared" si="5"/>
        <v>Low (&lt;3k)</v>
      </c>
      <c r="L93" t="str">
        <f t="shared" si="6"/>
        <v>Long (8+ days)</v>
      </c>
      <c r="M93" t="str">
        <f t="shared" si="7"/>
        <v>Excellent</v>
      </c>
    </row>
    <row r="94" spans="1:13">
      <c r="A94" t="s">
        <v>129</v>
      </c>
      <c r="B94" t="s">
        <v>48</v>
      </c>
      <c r="C94" t="s">
        <v>15</v>
      </c>
      <c r="D94" t="s">
        <v>51</v>
      </c>
      <c r="E94" t="s">
        <v>17</v>
      </c>
      <c r="F94" s="2">
        <v>14</v>
      </c>
      <c r="G94" s="3">
        <v>12102</v>
      </c>
      <c r="H94" s="2">
        <v>10</v>
      </c>
      <c r="I94" s="2">
        <v>90</v>
      </c>
      <c r="J94" t="str">
        <f t="shared" si="4"/>
        <v>Teen (13-19)</v>
      </c>
      <c r="K94" t="str">
        <f t="shared" si="5"/>
        <v>High (&gt;8k)</v>
      </c>
      <c r="L94" t="str">
        <f t="shared" si="6"/>
        <v>Long (8+ days)</v>
      </c>
      <c r="M94" t="str">
        <f t="shared" si="7"/>
        <v>Excellent</v>
      </c>
    </row>
    <row r="95" spans="1:13">
      <c r="A95" t="s">
        <v>130</v>
      </c>
      <c r="B95" t="s">
        <v>53</v>
      </c>
      <c r="C95" t="s">
        <v>27</v>
      </c>
      <c r="D95" t="s">
        <v>46</v>
      </c>
      <c r="E95" t="s">
        <v>21</v>
      </c>
      <c r="F95" s="2">
        <v>67</v>
      </c>
      <c r="G95" s="3">
        <v>1532</v>
      </c>
      <c r="H95" s="2">
        <v>2</v>
      </c>
      <c r="I95" s="2">
        <v>89</v>
      </c>
      <c r="J95" t="str">
        <f t="shared" si="4"/>
        <v>Senior (60+)</v>
      </c>
      <c r="K95" t="str">
        <f t="shared" si="5"/>
        <v>Low (&lt;3k)</v>
      </c>
      <c r="L95" t="str">
        <f t="shared" si="6"/>
        <v>Short (1-3 days)</v>
      </c>
      <c r="M95" t="str">
        <f t="shared" si="7"/>
        <v>Excellent</v>
      </c>
    </row>
    <row r="96" spans="1:13">
      <c r="A96" t="s">
        <v>131</v>
      </c>
      <c r="B96" t="s">
        <v>53</v>
      </c>
      <c r="C96" t="s">
        <v>27</v>
      </c>
      <c r="D96" t="s">
        <v>38</v>
      </c>
      <c r="E96" t="s">
        <v>21</v>
      </c>
      <c r="F96" s="2">
        <v>76</v>
      </c>
      <c r="G96" s="3">
        <v>749</v>
      </c>
      <c r="H96" s="2">
        <v>2</v>
      </c>
      <c r="I96" s="2">
        <v>65</v>
      </c>
      <c r="J96" t="str">
        <f t="shared" si="4"/>
        <v>Senior (60+)</v>
      </c>
      <c r="K96" t="str">
        <f t="shared" si="5"/>
        <v>Low (&lt;3k)</v>
      </c>
      <c r="L96" t="str">
        <f t="shared" si="6"/>
        <v>Short (1-3 days)</v>
      </c>
      <c r="M96" t="str">
        <f t="shared" si="7"/>
        <v>Needs Attention</v>
      </c>
    </row>
    <row r="97" spans="1:13">
      <c r="A97" t="s">
        <v>132</v>
      </c>
      <c r="B97" t="s">
        <v>53</v>
      </c>
      <c r="C97" t="s">
        <v>15</v>
      </c>
      <c r="D97" t="s">
        <v>31</v>
      </c>
      <c r="E97" t="s">
        <v>17</v>
      </c>
      <c r="F97" s="2">
        <v>32</v>
      </c>
      <c r="G97" s="3">
        <v>17295</v>
      </c>
      <c r="H97" s="2">
        <v>12</v>
      </c>
      <c r="I97" s="2">
        <v>86</v>
      </c>
      <c r="J97" t="str">
        <f t="shared" si="4"/>
        <v>Young Adult (20-35)</v>
      </c>
      <c r="K97" t="str">
        <f t="shared" si="5"/>
        <v>High (&gt;8k)</v>
      </c>
      <c r="L97" t="str">
        <f t="shared" si="6"/>
        <v>Long (8+ days)</v>
      </c>
      <c r="M97" t="str">
        <f t="shared" si="7"/>
        <v>Excellent</v>
      </c>
    </row>
    <row r="98" spans="1:13">
      <c r="A98" t="s">
        <v>133</v>
      </c>
      <c r="B98" t="s">
        <v>23</v>
      </c>
      <c r="C98" t="s">
        <v>27</v>
      </c>
      <c r="D98" t="s">
        <v>33</v>
      </c>
      <c r="E98" t="s">
        <v>21</v>
      </c>
      <c r="F98" s="2">
        <v>42</v>
      </c>
      <c r="G98" s="3">
        <v>572</v>
      </c>
      <c r="H98" s="2">
        <v>2</v>
      </c>
      <c r="I98" s="2">
        <v>63</v>
      </c>
      <c r="J98" t="str">
        <f t="shared" si="4"/>
        <v>Adult (36-59)</v>
      </c>
      <c r="K98" t="str">
        <f t="shared" si="5"/>
        <v>Low (&lt;3k)</v>
      </c>
      <c r="L98" t="str">
        <f t="shared" si="6"/>
        <v>Short (1-3 days)</v>
      </c>
      <c r="M98" t="str">
        <f t="shared" si="7"/>
        <v>Needs Attention</v>
      </c>
    </row>
    <row r="99" spans="1:13">
      <c r="A99" t="s">
        <v>134</v>
      </c>
      <c r="B99" t="s">
        <v>48</v>
      </c>
      <c r="C99" t="s">
        <v>30</v>
      </c>
      <c r="D99" t="s">
        <v>33</v>
      </c>
      <c r="E99" t="s">
        <v>21</v>
      </c>
      <c r="F99" s="2">
        <v>77</v>
      </c>
      <c r="G99" s="3">
        <v>6744</v>
      </c>
      <c r="H99" s="2">
        <v>6</v>
      </c>
      <c r="I99" s="2">
        <v>85</v>
      </c>
      <c r="J99" t="str">
        <f t="shared" si="4"/>
        <v>Senior (60+)</v>
      </c>
      <c r="K99" t="str">
        <f t="shared" si="5"/>
        <v>Medium (3k-8k)</v>
      </c>
      <c r="L99" t="str">
        <f t="shared" si="6"/>
        <v>Medium (4-7 days)</v>
      </c>
      <c r="M99" t="str">
        <f t="shared" si="7"/>
        <v>Excellent</v>
      </c>
    </row>
    <row r="100" spans="1:13">
      <c r="A100" t="s">
        <v>135</v>
      </c>
      <c r="B100" t="s">
        <v>19</v>
      </c>
      <c r="C100" t="s">
        <v>44</v>
      </c>
      <c r="D100" t="s">
        <v>35</v>
      </c>
      <c r="E100" t="s">
        <v>21</v>
      </c>
      <c r="F100" s="2">
        <v>53</v>
      </c>
      <c r="G100" s="3">
        <v>4502</v>
      </c>
      <c r="H100" s="2">
        <v>5</v>
      </c>
      <c r="I100" s="2">
        <v>98</v>
      </c>
      <c r="J100" t="str">
        <f t="shared" si="4"/>
        <v>Adult (36-59)</v>
      </c>
      <c r="K100" t="str">
        <f t="shared" si="5"/>
        <v>Medium (3k-8k)</v>
      </c>
      <c r="L100" t="str">
        <f t="shared" si="6"/>
        <v>Medium (4-7 days)</v>
      </c>
      <c r="M100" t="str">
        <f t="shared" si="7"/>
        <v>Excellent</v>
      </c>
    </row>
    <row r="101" spans="1:13">
      <c r="A101" t="s">
        <v>136</v>
      </c>
      <c r="B101" t="s">
        <v>26</v>
      </c>
      <c r="C101" t="s">
        <v>27</v>
      </c>
      <c r="D101" t="s">
        <v>38</v>
      </c>
      <c r="E101" t="s">
        <v>21</v>
      </c>
      <c r="F101" s="2">
        <v>3</v>
      </c>
      <c r="G101" s="3">
        <v>390</v>
      </c>
      <c r="H101" s="2">
        <v>2</v>
      </c>
      <c r="I101" s="2">
        <v>64</v>
      </c>
      <c r="J101" t="str">
        <f t="shared" si="4"/>
        <v>Child (0-12)</v>
      </c>
      <c r="K101" t="str">
        <f t="shared" si="5"/>
        <v>Low (&lt;3k)</v>
      </c>
      <c r="L101" t="str">
        <f t="shared" si="6"/>
        <v>Short (1-3 days)</v>
      </c>
      <c r="M101" t="str">
        <f t="shared" si="7"/>
        <v>Needs Attention</v>
      </c>
    </row>
    <row r="102" spans="1:13">
      <c r="A102" t="s">
        <v>137</v>
      </c>
      <c r="B102" t="s">
        <v>29</v>
      </c>
      <c r="C102" t="s">
        <v>44</v>
      </c>
      <c r="D102" t="s">
        <v>31</v>
      </c>
      <c r="E102" t="s">
        <v>17</v>
      </c>
      <c r="F102" s="2">
        <v>48</v>
      </c>
      <c r="G102" s="3">
        <v>4376</v>
      </c>
      <c r="H102" s="2">
        <v>5</v>
      </c>
      <c r="I102" s="2">
        <v>83</v>
      </c>
      <c r="J102" t="str">
        <f t="shared" si="4"/>
        <v>Adult (36-59)</v>
      </c>
      <c r="K102" t="str">
        <f t="shared" si="5"/>
        <v>Medium (3k-8k)</v>
      </c>
      <c r="L102" t="str">
        <f t="shared" si="6"/>
        <v>Medium (4-7 days)</v>
      </c>
      <c r="M102" t="str">
        <f t="shared" si="7"/>
        <v>Good</v>
      </c>
    </row>
    <row r="103" spans="1:13">
      <c r="A103" t="s">
        <v>138</v>
      </c>
      <c r="B103" t="s">
        <v>48</v>
      </c>
      <c r="C103" t="s">
        <v>27</v>
      </c>
      <c r="D103" t="s">
        <v>24</v>
      </c>
      <c r="E103" t="s">
        <v>21</v>
      </c>
      <c r="F103" s="2">
        <v>90</v>
      </c>
      <c r="G103" s="3">
        <v>1129</v>
      </c>
      <c r="H103" s="2">
        <v>2</v>
      </c>
      <c r="I103" s="2">
        <v>69</v>
      </c>
      <c r="J103" t="str">
        <f t="shared" si="4"/>
        <v>Senior (60+)</v>
      </c>
      <c r="K103" t="str">
        <f t="shared" si="5"/>
        <v>Low (&lt;3k)</v>
      </c>
      <c r="L103" t="str">
        <f t="shared" si="6"/>
        <v>Short (1-3 days)</v>
      </c>
      <c r="M103" t="str">
        <f t="shared" si="7"/>
        <v>Needs Attention</v>
      </c>
    </row>
    <row r="104" spans="1:13">
      <c r="A104" t="s">
        <v>139</v>
      </c>
      <c r="B104" t="s">
        <v>48</v>
      </c>
      <c r="C104" t="s">
        <v>44</v>
      </c>
      <c r="D104" t="s">
        <v>35</v>
      </c>
      <c r="E104" t="s">
        <v>17</v>
      </c>
      <c r="F104" s="2">
        <v>41</v>
      </c>
      <c r="G104" s="3">
        <v>1479</v>
      </c>
      <c r="H104" s="2">
        <v>5</v>
      </c>
      <c r="I104" s="2">
        <v>98</v>
      </c>
      <c r="J104" t="str">
        <f t="shared" si="4"/>
        <v>Adult (36-59)</v>
      </c>
      <c r="K104" t="str">
        <f t="shared" si="5"/>
        <v>Low (&lt;3k)</v>
      </c>
      <c r="L104" t="str">
        <f t="shared" si="6"/>
        <v>Medium (4-7 days)</v>
      </c>
      <c r="M104" t="str">
        <f t="shared" si="7"/>
        <v>Excellent</v>
      </c>
    </row>
    <row r="105" spans="1:13">
      <c r="A105" t="s">
        <v>140</v>
      </c>
      <c r="B105" t="s">
        <v>14</v>
      </c>
      <c r="C105" t="s">
        <v>44</v>
      </c>
      <c r="D105" t="s">
        <v>64</v>
      </c>
      <c r="E105" t="s">
        <v>21</v>
      </c>
      <c r="F105" s="2">
        <v>62</v>
      </c>
      <c r="G105" s="3">
        <v>2765</v>
      </c>
      <c r="H105" s="2">
        <v>5</v>
      </c>
      <c r="I105" s="2">
        <v>98</v>
      </c>
      <c r="J105" t="str">
        <f t="shared" si="4"/>
        <v>Senior (60+)</v>
      </c>
      <c r="K105" t="str">
        <f t="shared" si="5"/>
        <v>Low (&lt;3k)</v>
      </c>
      <c r="L105" t="str">
        <f t="shared" si="6"/>
        <v>Medium (4-7 days)</v>
      </c>
      <c r="M105" t="str">
        <f t="shared" si="7"/>
        <v>Excellent</v>
      </c>
    </row>
    <row r="106" spans="1:13">
      <c r="A106" t="s">
        <v>141</v>
      </c>
      <c r="B106" t="s">
        <v>23</v>
      </c>
      <c r="C106" t="s">
        <v>30</v>
      </c>
      <c r="D106" t="s">
        <v>35</v>
      </c>
      <c r="E106" t="s">
        <v>17</v>
      </c>
      <c r="F106" s="2">
        <v>38</v>
      </c>
      <c r="G106" s="3">
        <v>2863</v>
      </c>
      <c r="H106" s="2">
        <v>7</v>
      </c>
      <c r="I106" s="2">
        <v>61</v>
      </c>
      <c r="J106" t="str">
        <f t="shared" si="4"/>
        <v>Adult (36-59)</v>
      </c>
      <c r="K106" t="str">
        <f t="shared" si="5"/>
        <v>Low (&lt;3k)</v>
      </c>
      <c r="L106" t="str">
        <f t="shared" si="6"/>
        <v>Medium (4-7 days)</v>
      </c>
      <c r="M106" t="str">
        <f t="shared" si="7"/>
        <v>Needs Attention</v>
      </c>
    </row>
    <row r="107" spans="1:13">
      <c r="A107" t="s">
        <v>142</v>
      </c>
      <c r="B107" t="s">
        <v>48</v>
      </c>
      <c r="C107" t="s">
        <v>15</v>
      </c>
      <c r="D107" t="s">
        <v>24</v>
      </c>
      <c r="E107" t="s">
        <v>21</v>
      </c>
      <c r="F107" s="2">
        <v>6</v>
      </c>
      <c r="G107" s="3">
        <v>5893</v>
      </c>
      <c r="H107" s="2">
        <v>13</v>
      </c>
      <c r="I107" s="2">
        <v>68</v>
      </c>
      <c r="J107" t="str">
        <f t="shared" si="4"/>
        <v>Child (0-12)</v>
      </c>
      <c r="K107" t="str">
        <f t="shared" si="5"/>
        <v>Medium (3k-8k)</v>
      </c>
      <c r="L107" t="str">
        <f t="shared" si="6"/>
        <v>Long (8+ days)</v>
      </c>
      <c r="M107" t="str">
        <f t="shared" si="7"/>
        <v>Needs Attention</v>
      </c>
    </row>
    <row r="108" spans="1:13">
      <c r="A108" t="s">
        <v>143</v>
      </c>
      <c r="B108" t="s">
        <v>14</v>
      </c>
      <c r="C108" t="s">
        <v>44</v>
      </c>
      <c r="D108" t="s">
        <v>38</v>
      </c>
      <c r="E108" t="s">
        <v>21</v>
      </c>
      <c r="F108" s="2">
        <v>2</v>
      </c>
      <c r="G108" s="3">
        <v>2829</v>
      </c>
      <c r="H108" s="2">
        <v>4</v>
      </c>
      <c r="I108" s="2">
        <v>80</v>
      </c>
      <c r="J108" t="str">
        <f t="shared" si="4"/>
        <v>Child (0-12)</v>
      </c>
      <c r="K108" t="str">
        <f t="shared" si="5"/>
        <v>Low (&lt;3k)</v>
      </c>
      <c r="L108" t="str">
        <f t="shared" si="6"/>
        <v>Medium (4-7 days)</v>
      </c>
      <c r="M108" t="str">
        <f t="shared" si="7"/>
        <v>Good</v>
      </c>
    </row>
    <row r="109" spans="1:13">
      <c r="A109" t="s">
        <v>144</v>
      </c>
      <c r="B109" t="s">
        <v>29</v>
      </c>
      <c r="C109" t="s">
        <v>30</v>
      </c>
      <c r="D109" t="s">
        <v>46</v>
      </c>
      <c r="E109" t="s">
        <v>17</v>
      </c>
      <c r="F109" s="2">
        <v>33</v>
      </c>
      <c r="G109" s="3">
        <v>4913</v>
      </c>
      <c r="H109" s="2">
        <v>3</v>
      </c>
      <c r="I109" s="2">
        <v>54</v>
      </c>
      <c r="J109" t="str">
        <f t="shared" si="4"/>
        <v>Young Adult (20-35)</v>
      </c>
      <c r="K109" t="str">
        <f t="shared" si="5"/>
        <v>Medium (3k-8k)</v>
      </c>
      <c r="L109" t="str">
        <f t="shared" si="6"/>
        <v>Short (1-3 days)</v>
      </c>
      <c r="M109" t="str">
        <f t="shared" si="7"/>
        <v>Needs Attention</v>
      </c>
    </row>
    <row r="110" spans="1:13">
      <c r="A110" t="s">
        <v>145</v>
      </c>
      <c r="B110" t="s">
        <v>29</v>
      </c>
      <c r="C110" t="s">
        <v>27</v>
      </c>
      <c r="D110" t="s">
        <v>35</v>
      </c>
      <c r="E110" t="s">
        <v>17</v>
      </c>
      <c r="F110" s="2">
        <v>88</v>
      </c>
      <c r="G110" s="3">
        <v>309</v>
      </c>
      <c r="H110" s="2">
        <v>1</v>
      </c>
      <c r="I110" s="2">
        <v>59</v>
      </c>
      <c r="J110" t="str">
        <f t="shared" si="4"/>
        <v>Senior (60+)</v>
      </c>
      <c r="K110" t="str">
        <f t="shared" si="5"/>
        <v>Low (&lt;3k)</v>
      </c>
      <c r="L110" t="str">
        <f t="shared" si="6"/>
        <v>Short (1-3 days)</v>
      </c>
      <c r="M110" t="str">
        <f t="shared" si="7"/>
        <v>Needs Attention</v>
      </c>
    </row>
    <row r="111" spans="1:13">
      <c r="A111" t="s">
        <v>146</v>
      </c>
      <c r="B111" t="s">
        <v>53</v>
      </c>
      <c r="C111" t="s">
        <v>30</v>
      </c>
      <c r="D111" t="s">
        <v>35</v>
      </c>
      <c r="E111" t="s">
        <v>41</v>
      </c>
      <c r="F111" s="2">
        <v>16</v>
      </c>
      <c r="G111" s="3">
        <v>5571</v>
      </c>
      <c r="H111" s="2">
        <v>8</v>
      </c>
      <c r="I111" s="2">
        <v>88</v>
      </c>
      <c r="J111" t="str">
        <f t="shared" si="4"/>
        <v>Teen (13-19)</v>
      </c>
      <c r="K111" t="str">
        <f t="shared" si="5"/>
        <v>Medium (3k-8k)</v>
      </c>
      <c r="L111" t="str">
        <f t="shared" si="6"/>
        <v>Long (8+ days)</v>
      </c>
      <c r="M111" t="str">
        <f t="shared" si="7"/>
        <v>Excellent</v>
      </c>
    </row>
    <row r="112" spans="1:13">
      <c r="A112" t="s">
        <v>147</v>
      </c>
      <c r="B112" t="s">
        <v>23</v>
      </c>
      <c r="C112" t="s">
        <v>44</v>
      </c>
      <c r="D112" t="s">
        <v>24</v>
      </c>
      <c r="E112" t="s">
        <v>21</v>
      </c>
      <c r="F112" s="2">
        <v>57</v>
      </c>
      <c r="G112" s="3">
        <v>2935</v>
      </c>
      <c r="H112" s="2">
        <v>5</v>
      </c>
      <c r="I112" s="2">
        <v>77</v>
      </c>
      <c r="J112" t="str">
        <f t="shared" si="4"/>
        <v>Adult (36-59)</v>
      </c>
      <c r="K112" t="str">
        <f t="shared" si="5"/>
        <v>Low (&lt;3k)</v>
      </c>
      <c r="L112" t="str">
        <f t="shared" si="6"/>
        <v>Medium (4-7 days)</v>
      </c>
      <c r="M112" t="str">
        <f t="shared" si="7"/>
        <v>Good</v>
      </c>
    </row>
    <row r="113" spans="1:13">
      <c r="A113" t="s">
        <v>148</v>
      </c>
      <c r="B113" t="s">
        <v>48</v>
      </c>
      <c r="C113" t="s">
        <v>15</v>
      </c>
      <c r="D113" t="s">
        <v>20</v>
      </c>
      <c r="E113" t="s">
        <v>17</v>
      </c>
      <c r="F113" s="2">
        <v>13</v>
      </c>
      <c r="G113" s="3">
        <v>17496</v>
      </c>
      <c r="H113" s="2">
        <v>8</v>
      </c>
      <c r="I113" s="2">
        <v>90</v>
      </c>
      <c r="J113" t="str">
        <f t="shared" si="4"/>
        <v>Teen (13-19)</v>
      </c>
      <c r="K113" t="str">
        <f t="shared" si="5"/>
        <v>High (&gt;8k)</v>
      </c>
      <c r="L113" t="str">
        <f t="shared" si="6"/>
        <v>Long (8+ days)</v>
      </c>
      <c r="M113" t="str">
        <f t="shared" si="7"/>
        <v>Excellent</v>
      </c>
    </row>
    <row r="114" spans="1:13">
      <c r="A114" t="s">
        <v>149</v>
      </c>
      <c r="B114" t="s">
        <v>26</v>
      </c>
      <c r="C114" t="s">
        <v>30</v>
      </c>
      <c r="D114" t="s">
        <v>35</v>
      </c>
      <c r="E114" t="s">
        <v>21</v>
      </c>
      <c r="F114" s="2">
        <v>23</v>
      </c>
      <c r="G114" s="3">
        <v>5521</v>
      </c>
      <c r="H114" s="2">
        <v>3</v>
      </c>
      <c r="I114" s="2">
        <v>60</v>
      </c>
      <c r="J114" t="str">
        <f t="shared" si="4"/>
        <v>Young Adult (20-35)</v>
      </c>
      <c r="K114" t="str">
        <f t="shared" si="5"/>
        <v>Medium (3k-8k)</v>
      </c>
      <c r="L114" t="str">
        <f t="shared" si="6"/>
        <v>Short (1-3 days)</v>
      </c>
      <c r="M114" t="str">
        <f t="shared" si="7"/>
        <v>Needs Attention</v>
      </c>
    </row>
    <row r="115" spans="1:13">
      <c r="A115" t="s">
        <v>150</v>
      </c>
      <c r="B115" t="s">
        <v>19</v>
      </c>
      <c r="C115" t="s">
        <v>27</v>
      </c>
      <c r="D115" t="s">
        <v>38</v>
      </c>
      <c r="E115" t="s">
        <v>17</v>
      </c>
      <c r="F115" s="2">
        <v>61</v>
      </c>
      <c r="G115" s="3">
        <v>796</v>
      </c>
      <c r="H115" s="2">
        <v>1</v>
      </c>
      <c r="I115" s="2">
        <v>64</v>
      </c>
      <c r="J115" t="str">
        <f t="shared" si="4"/>
        <v>Senior (60+)</v>
      </c>
      <c r="K115" t="str">
        <f t="shared" si="5"/>
        <v>Low (&lt;3k)</v>
      </c>
      <c r="L115" t="str">
        <f t="shared" si="6"/>
        <v>Short (1-3 days)</v>
      </c>
      <c r="M115" t="str">
        <f t="shared" si="7"/>
        <v>Needs Attention</v>
      </c>
    </row>
    <row r="116" spans="1:13">
      <c r="A116" t="s">
        <v>151</v>
      </c>
      <c r="B116" t="s">
        <v>48</v>
      </c>
      <c r="C116" t="s">
        <v>30</v>
      </c>
      <c r="D116" t="s">
        <v>38</v>
      </c>
      <c r="E116" t="s">
        <v>21</v>
      </c>
      <c r="F116" s="2">
        <v>30</v>
      </c>
      <c r="G116" s="3">
        <v>3167</v>
      </c>
      <c r="H116" s="2">
        <v>5</v>
      </c>
      <c r="I116" s="2">
        <v>77</v>
      </c>
      <c r="J116" t="str">
        <f t="shared" si="4"/>
        <v>Young Adult (20-35)</v>
      </c>
      <c r="K116" t="str">
        <f t="shared" si="5"/>
        <v>Medium (3k-8k)</v>
      </c>
      <c r="L116" t="str">
        <f t="shared" si="6"/>
        <v>Medium (4-7 days)</v>
      </c>
      <c r="M116" t="str">
        <f t="shared" si="7"/>
        <v>Good</v>
      </c>
    </row>
    <row r="117" spans="1:13">
      <c r="A117" t="s">
        <v>152</v>
      </c>
      <c r="B117" t="s">
        <v>19</v>
      </c>
      <c r="C117" t="s">
        <v>44</v>
      </c>
      <c r="D117" t="s">
        <v>46</v>
      </c>
      <c r="E117" t="s">
        <v>17</v>
      </c>
      <c r="F117" s="2">
        <v>19</v>
      </c>
      <c r="G117" s="3">
        <v>1084</v>
      </c>
      <c r="H117" s="2">
        <v>1</v>
      </c>
      <c r="I117" s="2">
        <v>60</v>
      </c>
      <c r="J117" t="str">
        <f t="shared" si="4"/>
        <v>Teen (13-19)</v>
      </c>
      <c r="K117" t="str">
        <f t="shared" si="5"/>
        <v>Low (&lt;3k)</v>
      </c>
      <c r="L117" t="str">
        <f t="shared" si="6"/>
        <v>Short (1-3 days)</v>
      </c>
      <c r="M117" t="str">
        <f t="shared" si="7"/>
        <v>Needs Attention</v>
      </c>
    </row>
    <row r="118" spans="1:13">
      <c r="A118" t="s">
        <v>153</v>
      </c>
      <c r="B118" t="s">
        <v>53</v>
      </c>
      <c r="C118" t="s">
        <v>30</v>
      </c>
      <c r="D118" t="s">
        <v>20</v>
      </c>
      <c r="E118" t="s">
        <v>17</v>
      </c>
      <c r="F118" s="2">
        <v>73</v>
      </c>
      <c r="G118" s="3">
        <v>3364</v>
      </c>
      <c r="H118" s="2">
        <v>9</v>
      </c>
      <c r="I118" s="2">
        <v>57</v>
      </c>
      <c r="J118" t="str">
        <f t="shared" si="4"/>
        <v>Senior (60+)</v>
      </c>
      <c r="K118" t="str">
        <f t="shared" si="5"/>
        <v>Medium (3k-8k)</v>
      </c>
      <c r="L118" t="str">
        <f t="shared" si="6"/>
        <v>Long (8+ days)</v>
      </c>
      <c r="M118" t="str">
        <f t="shared" si="7"/>
        <v>Needs Attention</v>
      </c>
    </row>
    <row r="119" spans="1:13">
      <c r="A119" t="s">
        <v>154</v>
      </c>
      <c r="B119" t="s">
        <v>29</v>
      </c>
      <c r="C119" t="s">
        <v>30</v>
      </c>
      <c r="D119" t="s">
        <v>51</v>
      </c>
      <c r="E119" t="s">
        <v>17</v>
      </c>
      <c r="F119" s="2">
        <v>65</v>
      </c>
      <c r="G119" s="3">
        <v>5423</v>
      </c>
      <c r="H119" s="2">
        <v>9</v>
      </c>
      <c r="I119" s="2">
        <v>78</v>
      </c>
      <c r="J119" t="str">
        <f t="shared" si="4"/>
        <v>Senior (60+)</v>
      </c>
      <c r="K119" t="str">
        <f t="shared" si="5"/>
        <v>Medium (3k-8k)</v>
      </c>
      <c r="L119" t="str">
        <f t="shared" si="6"/>
        <v>Long (8+ days)</v>
      </c>
      <c r="M119" t="str">
        <f t="shared" si="7"/>
        <v>Good</v>
      </c>
    </row>
    <row r="120" spans="1:13">
      <c r="A120" t="s">
        <v>155</v>
      </c>
      <c r="B120" t="s">
        <v>19</v>
      </c>
      <c r="C120" t="s">
        <v>15</v>
      </c>
      <c r="D120" t="s">
        <v>51</v>
      </c>
      <c r="E120" t="s">
        <v>17</v>
      </c>
      <c r="F120" s="2">
        <v>78</v>
      </c>
      <c r="G120" s="3">
        <v>9102</v>
      </c>
      <c r="H120" s="2">
        <v>5</v>
      </c>
      <c r="I120" s="2">
        <v>55</v>
      </c>
      <c r="J120" t="str">
        <f t="shared" si="4"/>
        <v>Senior (60+)</v>
      </c>
      <c r="K120" t="str">
        <f t="shared" si="5"/>
        <v>High (&gt;8k)</v>
      </c>
      <c r="L120" t="str">
        <f t="shared" si="6"/>
        <v>Medium (4-7 days)</v>
      </c>
      <c r="M120" t="str">
        <f t="shared" si="7"/>
        <v>Needs Attention</v>
      </c>
    </row>
    <row r="121" spans="1:13">
      <c r="A121" t="s">
        <v>156</v>
      </c>
      <c r="B121" t="s">
        <v>26</v>
      </c>
      <c r="C121" t="s">
        <v>15</v>
      </c>
      <c r="D121" t="s">
        <v>31</v>
      </c>
      <c r="E121" t="s">
        <v>17</v>
      </c>
      <c r="F121" s="2">
        <v>23</v>
      </c>
      <c r="G121" s="3">
        <v>12708</v>
      </c>
      <c r="H121" s="2">
        <v>13</v>
      </c>
      <c r="I121" s="2">
        <v>91</v>
      </c>
      <c r="J121" t="str">
        <f t="shared" si="4"/>
        <v>Young Adult (20-35)</v>
      </c>
      <c r="K121" t="str">
        <f t="shared" si="5"/>
        <v>High (&gt;8k)</v>
      </c>
      <c r="L121" t="str">
        <f t="shared" si="6"/>
        <v>Long (8+ days)</v>
      </c>
      <c r="M121" t="str">
        <f t="shared" si="7"/>
        <v>Excellent</v>
      </c>
    </row>
    <row r="122" spans="1:13">
      <c r="A122" t="s">
        <v>157</v>
      </c>
      <c r="B122" t="s">
        <v>29</v>
      </c>
      <c r="C122" t="s">
        <v>30</v>
      </c>
      <c r="D122" t="s">
        <v>46</v>
      </c>
      <c r="E122" t="s">
        <v>41</v>
      </c>
      <c r="F122" s="2">
        <v>56</v>
      </c>
      <c r="G122" s="3">
        <v>6200</v>
      </c>
      <c r="H122" s="2">
        <v>9</v>
      </c>
      <c r="I122" s="2">
        <v>55</v>
      </c>
      <c r="J122" t="str">
        <f t="shared" si="4"/>
        <v>Adult (36-59)</v>
      </c>
      <c r="K122" t="str">
        <f t="shared" si="5"/>
        <v>Medium (3k-8k)</v>
      </c>
      <c r="L122" t="str">
        <f t="shared" si="6"/>
        <v>Long (8+ days)</v>
      </c>
      <c r="M122" t="str">
        <f t="shared" si="7"/>
        <v>Needs Attention</v>
      </c>
    </row>
    <row r="123" spans="1:13">
      <c r="A123" t="s">
        <v>158</v>
      </c>
      <c r="B123" t="s">
        <v>29</v>
      </c>
      <c r="C123" t="s">
        <v>30</v>
      </c>
      <c r="D123" t="s">
        <v>51</v>
      </c>
      <c r="E123" t="s">
        <v>21</v>
      </c>
      <c r="F123" s="2">
        <v>86</v>
      </c>
      <c r="G123" s="3">
        <v>1856</v>
      </c>
      <c r="H123" s="2">
        <v>4</v>
      </c>
      <c r="I123" s="2">
        <v>71</v>
      </c>
      <c r="J123" t="str">
        <f t="shared" si="4"/>
        <v>Senior (60+)</v>
      </c>
      <c r="K123" t="str">
        <f t="shared" si="5"/>
        <v>Low (&lt;3k)</v>
      </c>
      <c r="L123" t="str">
        <f t="shared" si="6"/>
        <v>Medium (4-7 days)</v>
      </c>
      <c r="M123" t="str">
        <f t="shared" si="7"/>
        <v>Good</v>
      </c>
    </row>
    <row r="124" spans="1:13">
      <c r="A124" t="s">
        <v>159</v>
      </c>
      <c r="B124" t="s">
        <v>29</v>
      </c>
      <c r="C124" t="s">
        <v>27</v>
      </c>
      <c r="D124" t="s">
        <v>31</v>
      </c>
      <c r="E124" t="s">
        <v>17</v>
      </c>
      <c r="F124" s="2">
        <v>52</v>
      </c>
      <c r="G124" s="3">
        <v>1866</v>
      </c>
      <c r="H124" s="2">
        <v>3</v>
      </c>
      <c r="I124" s="2">
        <v>52</v>
      </c>
      <c r="J124" t="str">
        <f t="shared" si="4"/>
        <v>Adult (36-59)</v>
      </c>
      <c r="K124" t="str">
        <f t="shared" si="5"/>
        <v>Low (&lt;3k)</v>
      </c>
      <c r="L124" t="str">
        <f t="shared" si="6"/>
        <v>Short (1-3 days)</v>
      </c>
      <c r="M124" t="str">
        <f t="shared" si="7"/>
        <v>Needs Attention</v>
      </c>
    </row>
    <row r="125" spans="1:13">
      <c r="A125" t="s">
        <v>160</v>
      </c>
      <c r="B125" t="s">
        <v>29</v>
      </c>
      <c r="C125" t="s">
        <v>15</v>
      </c>
      <c r="D125" t="s">
        <v>33</v>
      </c>
      <c r="E125" t="s">
        <v>21</v>
      </c>
      <c r="F125" s="2">
        <v>15</v>
      </c>
      <c r="G125" s="3">
        <v>17657</v>
      </c>
      <c r="H125" s="2">
        <v>11</v>
      </c>
      <c r="I125" s="2">
        <v>82</v>
      </c>
      <c r="J125" t="str">
        <f t="shared" si="4"/>
        <v>Teen (13-19)</v>
      </c>
      <c r="K125" t="str">
        <f t="shared" si="5"/>
        <v>High (&gt;8k)</v>
      </c>
      <c r="L125" t="str">
        <f t="shared" si="6"/>
        <v>Long (8+ days)</v>
      </c>
      <c r="M125" t="str">
        <f t="shared" si="7"/>
        <v>Good</v>
      </c>
    </row>
    <row r="126" spans="1:13">
      <c r="A126" t="s">
        <v>161</v>
      </c>
      <c r="B126" t="s">
        <v>53</v>
      </c>
      <c r="C126" t="s">
        <v>15</v>
      </c>
      <c r="D126" t="s">
        <v>24</v>
      </c>
      <c r="E126" t="s">
        <v>21</v>
      </c>
      <c r="F126" s="2">
        <v>7</v>
      </c>
      <c r="G126" s="3">
        <v>8073</v>
      </c>
      <c r="H126" s="2">
        <v>13</v>
      </c>
      <c r="I126" s="2">
        <v>73</v>
      </c>
      <c r="J126" t="str">
        <f t="shared" si="4"/>
        <v>Child (0-12)</v>
      </c>
      <c r="K126" t="str">
        <f t="shared" si="5"/>
        <v>High (&gt;8k)</v>
      </c>
      <c r="L126" t="str">
        <f t="shared" si="6"/>
        <v>Long (8+ days)</v>
      </c>
      <c r="M126" t="str">
        <f t="shared" si="7"/>
        <v>Good</v>
      </c>
    </row>
    <row r="127" spans="1:13">
      <c r="A127" t="s">
        <v>162</v>
      </c>
      <c r="B127" t="s">
        <v>23</v>
      </c>
      <c r="C127" t="s">
        <v>27</v>
      </c>
      <c r="D127" t="s">
        <v>38</v>
      </c>
      <c r="E127" t="s">
        <v>17</v>
      </c>
      <c r="F127" s="2">
        <v>27</v>
      </c>
      <c r="G127" s="3">
        <v>746</v>
      </c>
      <c r="H127" s="2">
        <v>3</v>
      </c>
      <c r="I127" s="2">
        <v>58</v>
      </c>
      <c r="J127" t="str">
        <f t="shared" si="4"/>
        <v>Young Adult (20-35)</v>
      </c>
      <c r="K127" t="str">
        <f t="shared" si="5"/>
        <v>Low (&lt;3k)</v>
      </c>
      <c r="L127" t="str">
        <f t="shared" si="6"/>
        <v>Short (1-3 days)</v>
      </c>
      <c r="M127" t="str">
        <f t="shared" si="7"/>
        <v>Needs Attention</v>
      </c>
    </row>
    <row r="128" spans="1:13">
      <c r="A128" t="s">
        <v>163</v>
      </c>
      <c r="B128" t="s">
        <v>48</v>
      </c>
      <c r="C128" t="s">
        <v>27</v>
      </c>
      <c r="D128" t="s">
        <v>38</v>
      </c>
      <c r="E128" t="s">
        <v>21</v>
      </c>
      <c r="F128" s="2">
        <v>81</v>
      </c>
      <c r="G128" s="3">
        <v>1446</v>
      </c>
      <c r="H128" s="2">
        <v>1</v>
      </c>
      <c r="I128" s="2">
        <v>95</v>
      </c>
      <c r="J128" t="str">
        <f t="shared" si="4"/>
        <v>Senior (60+)</v>
      </c>
      <c r="K128" t="str">
        <f t="shared" si="5"/>
        <v>Low (&lt;3k)</v>
      </c>
      <c r="L128" t="str">
        <f t="shared" si="6"/>
        <v>Short (1-3 days)</v>
      </c>
      <c r="M128" t="str">
        <f t="shared" si="7"/>
        <v>Excellent</v>
      </c>
    </row>
    <row r="129" spans="1:13">
      <c r="A129" t="s">
        <v>164</v>
      </c>
      <c r="B129" t="s">
        <v>26</v>
      </c>
      <c r="C129" t="s">
        <v>30</v>
      </c>
      <c r="D129" t="s">
        <v>24</v>
      </c>
      <c r="E129" t="s">
        <v>21</v>
      </c>
      <c r="F129" s="2">
        <v>53</v>
      </c>
      <c r="G129" s="3">
        <v>1763</v>
      </c>
      <c r="H129" s="2">
        <v>5</v>
      </c>
      <c r="I129" s="2">
        <v>57</v>
      </c>
      <c r="J129" t="str">
        <f t="shared" si="4"/>
        <v>Adult (36-59)</v>
      </c>
      <c r="K129" t="str">
        <f t="shared" si="5"/>
        <v>Low (&lt;3k)</v>
      </c>
      <c r="L129" t="str">
        <f t="shared" si="6"/>
        <v>Medium (4-7 days)</v>
      </c>
      <c r="M129" t="str">
        <f t="shared" si="7"/>
        <v>Needs Attention</v>
      </c>
    </row>
    <row r="130" spans="1:13">
      <c r="A130" t="s">
        <v>165</v>
      </c>
      <c r="B130" t="s">
        <v>29</v>
      </c>
      <c r="C130" t="s">
        <v>15</v>
      </c>
      <c r="D130" t="s">
        <v>46</v>
      </c>
      <c r="E130" t="s">
        <v>17</v>
      </c>
      <c r="F130" s="2">
        <v>38</v>
      </c>
      <c r="G130" s="3">
        <v>13337</v>
      </c>
      <c r="H130" s="2">
        <v>9</v>
      </c>
      <c r="I130" s="2">
        <v>76</v>
      </c>
      <c r="J130" t="str">
        <f t="shared" ref="J130:J193" si="8">IF(F130&lt;=12,"Child (0-12)",IF(F130&lt;=19,"Teen (13-19)",IF(F130&lt;=35,"Young Adult (20-35)",IF(F130&lt;=59,"Adult (36-59)","Senior (60+)"))))</f>
        <v>Adult (36-59)</v>
      </c>
      <c r="K130" t="str">
        <f t="shared" ref="K130:K193" si="9">IF(G130&lt;3000,"Low (&lt;3k)",IF(G130&lt;=8000,"Medium (3k-8k)","High (&gt;8k)"))</f>
        <v>High (&gt;8k)</v>
      </c>
      <c r="L130" t="str">
        <f t="shared" ref="L130:L193" si="10">IF(H130&lt;=3,"Short (1-3 days)",IF(H130&lt;=7,"Medium (4-7 days)","Long (8+ days)"))</f>
        <v>Long (8+ days)</v>
      </c>
      <c r="M130" t="str">
        <f t="shared" ref="M130:M193" si="11">IF(I130&gt;=85,"Excellent",IF(I130&gt;=70,"Good","Needs Attention"))</f>
        <v>Good</v>
      </c>
    </row>
    <row r="131" spans="1:13">
      <c r="A131" t="s">
        <v>166</v>
      </c>
      <c r="B131" t="s">
        <v>53</v>
      </c>
      <c r="C131" t="s">
        <v>27</v>
      </c>
      <c r="D131" t="s">
        <v>38</v>
      </c>
      <c r="E131" t="s">
        <v>21</v>
      </c>
      <c r="F131" s="2">
        <v>71</v>
      </c>
      <c r="G131" s="3">
        <v>496</v>
      </c>
      <c r="H131" s="2">
        <v>2</v>
      </c>
      <c r="I131" s="2">
        <v>62</v>
      </c>
      <c r="J131" t="str">
        <f t="shared" si="8"/>
        <v>Senior (60+)</v>
      </c>
      <c r="K131" t="str">
        <f t="shared" si="9"/>
        <v>Low (&lt;3k)</v>
      </c>
      <c r="L131" t="str">
        <f t="shared" si="10"/>
        <v>Short (1-3 days)</v>
      </c>
      <c r="M131" t="str">
        <f t="shared" si="11"/>
        <v>Needs Attention</v>
      </c>
    </row>
    <row r="132" spans="1:13">
      <c r="A132" t="s">
        <v>167</v>
      </c>
      <c r="B132" t="s">
        <v>23</v>
      </c>
      <c r="C132" t="s">
        <v>44</v>
      </c>
      <c r="D132" t="s">
        <v>35</v>
      </c>
      <c r="E132" t="s">
        <v>21</v>
      </c>
      <c r="F132" s="2">
        <v>54</v>
      </c>
      <c r="G132" s="3">
        <v>3284</v>
      </c>
      <c r="H132" s="2">
        <v>5</v>
      </c>
      <c r="I132" s="2">
        <v>67</v>
      </c>
      <c r="J132" t="str">
        <f t="shared" si="8"/>
        <v>Adult (36-59)</v>
      </c>
      <c r="K132" t="str">
        <f t="shared" si="9"/>
        <v>Medium (3k-8k)</v>
      </c>
      <c r="L132" t="str">
        <f t="shared" si="10"/>
        <v>Medium (4-7 days)</v>
      </c>
      <c r="M132" t="str">
        <f t="shared" si="11"/>
        <v>Needs Attention</v>
      </c>
    </row>
    <row r="133" spans="1:13">
      <c r="A133" t="s">
        <v>168</v>
      </c>
      <c r="B133" t="s">
        <v>53</v>
      </c>
      <c r="C133" t="s">
        <v>15</v>
      </c>
      <c r="D133" t="s">
        <v>31</v>
      </c>
      <c r="E133" t="s">
        <v>17</v>
      </c>
      <c r="F133" s="2">
        <v>76</v>
      </c>
      <c r="G133" s="3">
        <v>14501</v>
      </c>
      <c r="H133" s="2">
        <v>15</v>
      </c>
      <c r="I133" s="2">
        <v>81</v>
      </c>
      <c r="J133" t="str">
        <f t="shared" si="8"/>
        <v>Senior (60+)</v>
      </c>
      <c r="K133" t="str">
        <f t="shared" si="9"/>
        <v>High (&gt;8k)</v>
      </c>
      <c r="L133" t="str">
        <f t="shared" si="10"/>
        <v>Long (8+ days)</v>
      </c>
      <c r="M133" t="str">
        <f t="shared" si="11"/>
        <v>Good</v>
      </c>
    </row>
    <row r="134" spans="1:13">
      <c r="A134" t="s">
        <v>169</v>
      </c>
      <c r="B134" t="s">
        <v>53</v>
      </c>
      <c r="C134" t="s">
        <v>44</v>
      </c>
      <c r="D134" t="s">
        <v>38</v>
      </c>
      <c r="E134" t="s">
        <v>17</v>
      </c>
      <c r="F134" s="2">
        <v>45</v>
      </c>
      <c r="G134" s="3">
        <v>3223</v>
      </c>
      <c r="H134" s="2">
        <v>5</v>
      </c>
      <c r="I134" s="2">
        <v>98</v>
      </c>
      <c r="J134" t="str">
        <f t="shared" si="8"/>
        <v>Adult (36-59)</v>
      </c>
      <c r="K134" t="str">
        <f t="shared" si="9"/>
        <v>Medium (3k-8k)</v>
      </c>
      <c r="L134" t="str">
        <f t="shared" si="10"/>
        <v>Medium (4-7 days)</v>
      </c>
      <c r="M134" t="str">
        <f t="shared" si="11"/>
        <v>Excellent</v>
      </c>
    </row>
    <row r="135" spans="1:13">
      <c r="A135" t="s">
        <v>170</v>
      </c>
      <c r="B135" t="s">
        <v>23</v>
      </c>
      <c r="C135" t="s">
        <v>27</v>
      </c>
      <c r="D135" t="s">
        <v>38</v>
      </c>
      <c r="E135" t="s">
        <v>17</v>
      </c>
      <c r="F135" s="2">
        <v>25</v>
      </c>
      <c r="G135" s="3">
        <v>1628</v>
      </c>
      <c r="H135" s="2">
        <v>1</v>
      </c>
      <c r="I135" s="2">
        <v>86</v>
      </c>
      <c r="J135" t="str">
        <f t="shared" si="8"/>
        <v>Young Adult (20-35)</v>
      </c>
      <c r="K135" t="str">
        <f t="shared" si="9"/>
        <v>Low (&lt;3k)</v>
      </c>
      <c r="L135" t="str">
        <f t="shared" si="10"/>
        <v>Short (1-3 days)</v>
      </c>
      <c r="M135" t="str">
        <f t="shared" si="11"/>
        <v>Excellent</v>
      </c>
    </row>
    <row r="136" spans="1:13">
      <c r="A136" t="s">
        <v>171</v>
      </c>
      <c r="B136" t="s">
        <v>29</v>
      </c>
      <c r="C136" t="s">
        <v>44</v>
      </c>
      <c r="D136" t="s">
        <v>51</v>
      </c>
      <c r="E136" t="s">
        <v>21</v>
      </c>
      <c r="F136" s="2">
        <v>61</v>
      </c>
      <c r="G136" s="3">
        <v>3623</v>
      </c>
      <c r="H136" s="2">
        <v>4</v>
      </c>
      <c r="I136" s="2">
        <v>92</v>
      </c>
      <c r="J136" t="str">
        <f t="shared" si="8"/>
        <v>Senior (60+)</v>
      </c>
      <c r="K136" t="str">
        <f t="shared" si="9"/>
        <v>Medium (3k-8k)</v>
      </c>
      <c r="L136" t="str">
        <f t="shared" si="10"/>
        <v>Medium (4-7 days)</v>
      </c>
      <c r="M136" t="str">
        <f t="shared" si="11"/>
        <v>Excellent</v>
      </c>
    </row>
    <row r="137" spans="1:13">
      <c r="A137" t="s">
        <v>172</v>
      </c>
      <c r="B137" t="s">
        <v>53</v>
      </c>
      <c r="C137" t="s">
        <v>44</v>
      </c>
      <c r="D137" t="s">
        <v>38</v>
      </c>
      <c r="E137" t="s">
        <v>17</v>
      </c>
      <c r="F137" s="2">
        <v>17</v>
      </c>
      <c r="G137" s="3">
        <v>4614</v>
      </c>
      <c r="H137" s="2">
        <v>5</v>
      </c>
      <c r="I137" s="2">
        <v>71</v>
      </c>
      <c r="J137" t="str">
        <f t="shared" si="8"/>
        <v>Teen (13-19)</v>
      </c>
      <c r="K137" t="str">
        <f t="shared" si="9"/>
        <v>Medium (3k-8k)</v>
      </c>
      <c r="L137" t="str">
        <f t="shared" si="10"/>
        <v>Medium (4-7 days)</v>
      </c>
      <c r="M137" t="str">
        <f t="shared" si="11"/>
        <v>Good</v>
      </c>
    </row>
    <row r="138" spans="1:13">
      <c r="A138" t="s">
        <v>173</v>
      </c>
      <c r="B138" t="s">
        <v>53</v>
      </c>
      <c r="C138" t="s">
        <v>15</v>
      </c>
      <c r="D138" t="s">
        <v>38</v>
      </c>
      <c r="E138" t="s">
        <v>21</v>
      </c>
      <c r="F138" s="2">
        <v>59</v>
      </c>
      <c r="G138" s="3">
        <v>5251</v>
      </c>
      <c r="H138" s="2">
        <v>7</v>
      </c>
      <c r="I138" s="2">
        <v>76</v>
      </c>
      <c r="J138" t="str">
        <f t="shared" si="8"/>
        <v>Adult (36-59)</v>
      </c>
      <c r="K138" t="str">
        <f t="shared" si="9"/>
        <v>Medium (3k-8k)</v>
      </c>
      <c r="L138" t="str">
        <f t="shared" si="10"/>
        <v>Medium (4-7 days)</v>
      </c>
      <c r="M138" t="str">
        <f t="shared" si="11"/>
        <v>Good</v>
      </c>
    </row>
    <row r="139" spans="1:13">
      <c r="A139" t="s">
        <v>174</v>
      </c>
      <c r="B139" t="s">
        <v>53</v>
      </c>
      <c r="C139" t="s">
        <v>44</v>
      </c>
      <c r="D139" t="s">
        <v>35</v>
      </c>
      <c r="E139" t="s">
        <v>21</v>
      </c>
      <c r="F139" s="2">
        <v>34</v>
      </c>
      <c r="G139" s="3">
        <v>3273</v>
      </c>
      <c r="H139" s="2">
        <v>5</v>
      </c>
      <c r="I139" s="2">
        <v>94</v>
      </c>
      <c r="J139" t="str">
        <f t="shared" si="8"/>
        <v>Young Adult (20-35)</v>
      </c>
      <c r="K139" t="str">
        <f t="shared" si="9"/>
        <v>Medium (3k-8k)</v>
      </c>
      <c r="L139" t="str">
        <f t="shared" si="10"/>
        <v>Medium (4-7 days)</v>
      </c>
      <c r="M139" t="str">
        <f t="shared" si="11"/>
        <v>Excellent</v>
      </c>
    </row>
    <row r="140" spans="1:13">
      <c r="A140" t="s">
        <v>175</v>
      </c>
      <c r="B140" t="s">
        <v>29</v>
      </c>
      <c r="C140" t="s">
        <v>15</v>
      </c>
      <c r="D140" t="s">
        <v>33</v>
      </c>
      <c r="E140" t="s">
        <v>17</v>
      </c>
      <c r="F140" s="2">
        <v>69</v>
      </c>
      <c r="G140" s="3">
        <v>11226</v>
      </c>
      <c r="H140" s="2">
        <v>10</v>
      </c>
      <c r="I140" s="2">
        <v>90</v>
      </c>
      <c r="J140" t="str">
        <f t="shared" si="8"/>
        <v>Senior (60+)</v>
      </c>
      <c r="K140" t="str">
        <f t="shared" si="9"/>
        <v>High (&gt;8k)</v>
      </c>
      <c r="L140" t="str">
        <f t="shared" si="10"/>
        <v>Long (8+ days)</v>
      </c>
      <c r="M140" t="str">
        <f t="shared" si="11"/>
        <v>Excellent</v>
      </c>
    </row>
    <row r="141" spans="1:13">
      <c r="A141" t="s">
        <v>176</v>
      </c>
      <c r="B141" t="s">
        <v>14</v>
      </c>
      <c r="C141" t="s">
        <v>27</v>
      </c>
      <c r="D141" t="s">
        <v>24</v>
      </c>
      <c r="E141" t="s">
        <v>21</v>
      </c>
      <c r="F141" s="2">
        <v>9</v>
      </c>
      <c r="G141" s="3">
        <v>680</v>
      </c>
      <c r="H141" s="2">
        <v>3</v>
      </c>
      <c r="I141" s="2">
        <v>93</v>
      </c>
      <c r="J141" t="str">
        <f t="shared" si="8"/>
        <v>Child (0-12)</v>
      </c>
      <c r="K141" t="str">
        <f t="shared" si="9"/>
        <v>Low (&lt;3k)</v>
      </c>
      <c r="L141" t="str">
        <f t="shared" si="10"/>
        <v>Short (1-3 days)</v>
      </c>
      <c r="M141" t="str">
        <f t="shared" si="11"/>
        <v>Excellent</v>
      </c>
    </row>
    <row r="142" spans="1:13">
      <c r="A142" t="s">
        <v>177</v>
      </c>
      <c r="B142" t="s">
        <v>48</v>
      </c>
      <c r="C142" t="s">
        <v>44</v>
      </c>
      <c r="D142" t="s">
        <v>35</v>
      </c>
      <c r="E142" t="s">
        <v>21</v>
      </c>
      <c r="F142" s="2">
        <v>13</v>
      </c>
      <c r="G142" s="3">
        <v>1323</v>
      </c>
      <c r="H142" s="2">
        <v>4</v>
      </c>
      <c r="I142" s="2">
        <v>60</v>
      </c>
      <c r="J142" t="str">
        <f t="shared" si="8"/>
        <v>Teen (13-19)</v>
      </c>
      <c r="K142" t="str">
        <f t="shared" si="9"/>
        <v>Low (&lt;3k)</v>
      </c>
      <c r="L142" t="str">
        <f t="shared" si="10"/>
        <v>Medium (4-7 days)</v>
      </c>
      <c r="M142" t="str">
        <f t="shared" si="11"/>
        <v>Needs Attention</v>
      </c>
    </row>
    <row r="143" spans="1:13">
      <c r="A143" t="s">
        <v>178</v>
      </c>
      <c r="B143" t="s">
        <v>14</v>
      </c>
      <c r="C143" t="s">
        <v>30</v>
      </c>
      <c r="D143" t="s">
        <v>16</v>
      </c>
      <c r="E143" t="s">
        <v>21</v>
      </c>
      <c r="F143" s="2">
        <v>8</v>
      </c>
      <c r="G143" s="3">
        <v>3403</v>
      </c>
      <c r="H143" s="2">
        <v>7</v>
      </c>
      <c r="I143" s="2">
        <v>73</v>
      </c>
      <c r="J143" t="str">
        <f t="shared" si="8"/>
        <v>Child (0-12)</v>
      </c>
      <c r="K143" t="str">
        <f t="shared" si="9"/>
        <v>Medium (3k-8k)</v>
      </c>
      <c r="L143" t="str">
        <f t="shared" si="10"/>
        <v>Medium (4-7 days)</v>
      </c>
      <c r="M143" t="str">
        <f t="shared" si="11"/>
        <v>Good</v>
      </c>
    </row>
    <row r="144" spans="1:13">
      <c r="A144" t="s">
        <v>179</v>
      </c>
      <c r="B144" t="s">
        <v>29</v>
      </c>
      <c r="C144" t="s">
        <v>44</v>
      </c>
      <c r="D144" t="s">
        <v>64</v>
      </c>
      <c r="E144" t="s">
        <v>17</v>
      </c>
      <c r="F144" s="2">
        <v>73</v>
      </c>
      <c r="G144" s="3">
        <v>1975</v>
      </c>
      <c r="H144" s="2">
        <v>2</v>
      </c>
      <c r="I144" s="2">
        <v>61</v>
      </c>
      <c r="J144" t="str">
        <f t="shared" si="8"/>
        <v>Senior (60+)</v>
      </c>
      <c r="K144" t="str">
        <f t="shared" si="9"/>
        <v>Low (&lt;3k)</v>
      </c>
      <c r="L144" t="str">
        <f t="shared" si="10"/>
        <v>Short (1-3 days)</v>
      </c>
      <c r="M144" t="str">
        <f t="shared" si="11"/>
        <v>Needs Attention</v>
      </c>
    </row>
    <row r="145" spans="1:13">
      <c r="A145" t="s">
        <v>180</v>
      </c>
      <c r="B145" t="s">
        <v>19</v>
      </c>
      <c r="C145" t="s">
        <v>27</v>
      </c>
      <c r="D145" t="s">
        <v>20</v>
      </c>
      <c r="E145" t="s">
        <v>17</v>
      </c>
      <c r="F145" s="2">
        <v>64</v>
      </c>
      <c r="G145" s="3">
        <v>1394</v>
      </c>
      <c r="H145" s="2">
        <v>1</v>
      </c>
      <c r="I145" s="2">
        <v>64</v>
      </c>
      <c r="J145" t="str">
        <f t="shared" si="8"/>
        <v>Senior (60+)</v>
      </c>
      <c r="K145" t="str">
        <f t="shared" si="9"/>
        <v>Low (&lt;3k)</v>
      </c>
      <c r="L145" t="str">
        <f t="shared" si="10"/>
        <v>Short (1-3 days)</v>
      </c>
      <c r="M145" t="str">
        <f t="shared" si="11"/>
        <v>Needs Attention</v>
      </c>
    </row>
    <row r="146" spans="1:13">
      <c r="A146" t="s">
        <v>181</v>
      </c>
      <c r="B146" t="s">
        <v>29</v>
      </c>
      <c r="C146" t="s">
        <v>30</v>
      </c>
      <c r="D146" t="s">
        <v>38</v>
      </c>
      <c r="E146" t="s">
        <v>21</v>
      </c>
      <c r="F146" s="2">
        <v>2</v>
      </c>
      <c r="G146" s="3">
        <v>4811</v>
      </c>
      <c r="H146" s="2">
        <v>6</v>
      </c>
      <c r="I146" s="2">
        <v>93</v>
      </c>
      <c r="J146" t="str">
        <f t="shared" si="8"/>
        <v>Child (0-12)</v>
      </c>
      <c r="K146" t="str">
        <f t="shared" si="9"/>
        <v>Medium (3k-8k)</v>
      </c>
      <c r="L146" t="str">
        <f t="shared" si="10"/>
        <v>Medium (4-7 days)</v>
      </c>
      <c r="M146" t="str">
        <f t="shared" si="11"/>
        <v>Excellent</v>
      </c>
    </row>
    <row r="147" spans="1:13">
      <c r="A147" t="s">
        <v>182</v>
      </c>
      <c r="B147" t="s">
        <v>23</v>
      </c>
      <c r="C147" t="s">
        <v>44</v>
      </c>
      <c r="D147" t="s">
        <v>35</v>
      </c>
      <c r="E147" t="s">
        <v>21</v>
      </c>
      <c r="F147" s="2">
        <v>45</v>
      </c>
      <c r="G147" s="3">
        <v>2950</v>
      </c>
      <c r="H147" s="2">
        <v>4</v>
      </c>
      <c r="I147" s="2">
        <v>94</v>
      </c>
      <c r="J147" t="str">
        <f t="shared" si="8"/>
        <v>Adult (36-59)</v>
      </c>
      <c r="K147" t="str">
        <f t="shared" si="9"/>
        <v>Low (&lt;3k)</v>
      </c>
      <c r="L147" t="str">
        <f t="shared" si="10"/>
        <v>Medium (4-7 days)</v>
      </c>
      <c r="M147" t="str">
        <f t="shared" si="11"/>
        <v>Excellent</v>
      </c>
    </row>
    <row r="148" spans="1:13">
      <c r="A148" t="s">
        <v>183</v>
      </c>
      <c r="B148" t="s">
        <v>48</v>
      </c>
      <c r="C148" t="s">
        <v>27</v>
      </c>
      <c r="D148" t="s">
        <v>31</v>
      </c>
      <c r="E148" t="s">
        <v>21</v>
      </c>
      <c r="F148" s="2">
        <v>50</v>
      </c>
      <c r="G148" s="3">
        <v>1947</v>
      </c>
      <c r="H148" s="2">
        <v>2</v>
      </c>
      <c r="I148" s="2">
        <v>56</v>
      </c>
      <c r="J148" t="str">
        <f t="shared" si="8"/>
        <v>Adult (36-59)</v>
      </c>
      <c r="K148" t="str">
        <f t="shared" si="9"/>
        <v>Low (&lt;3k)</v>
      </c>
      <c r="L148" t="str">
        <f t="shared" si="10"/>
        <v>Short (1-3 days)</v>
      </c>
      <c r="M148" t="str">
        <f t="shared" si="11"/>
        <v>Needs Attention</v>
      </c>
    </row>
    <row r="149" spans="1:13">
      <c r="A149" t="s">
        <v>184</v>
      </c>
      <c r="B149" t="s">
        <v>26</v>
      </c>
      <c r="C149" t="s">
        <v>27</v>
      </c>
      <c r="D149" t="s">
        <v>20</v>
      </c>
      <c r="E149" t="s">
        <v>21</v>
      </c>
      <c r="F149" s="2">
        <v>38</v>
      </c>
      <c r="G149" s="3">
        <v>1632</v>
      </c>
      <c r="H149" s="2">
        <v>2</v>
      </c>
      <c r="I149" s="2">
        <v>51</v>
      </c>
      <c r="J149" t="str">
        <f t="shared" si="8"/>
        <v>Adult (36-59)</v>
      </c>
      <c r="K149" t="str">
        <f t="shared" si="9"/>
        <v>Low (&lt;3k)</v>
      </c>
      <c r="L149" t="str">
        <f t="shared" si="10"/>
        <v>Short (1-3 days)</v>
      </c>
      <c r="M149" t="str">
        <f t="shared" si="11"/>
        <v>Needs Attention</v>
      </c>
    </row>
    <row r="150" spans="1:13">
      <c r="A150" t="s">
        <v>185</v>
      </c>
      <c r="B150" t="s">
        <v>53</v>
      </c>
      <c r="C150" t="s">
        <v>27</v>
      </c>
      <c r="D150" t="s">
        <v>31</v>
      </c>
      <c r="E150" t="s">
        <v>21</v>
      </c>
      <c r="F150" s="2">
        <v>88</v>
      </c>
      <c r="G150" s="3">
        <v>1793</v>
      </c>
      <c r="H150" s="2">
        <v>3</v>
      </c>
      <c r="I150" s="2">
        <v>53</v>
      </c>
      <c r="J150" t="str">
        <f t="shared" si="8"/>
        <v>Senior (60+)</v>
      </c>
      <c r="K150" t="str">
        <f t="shared" si="9"/>
        <v>Low (&lt;3k)</v>
      </c>
      <c r="L150" t="str">
        <f t="shared" si="10"/>
        <v>Short (1-3 days)</v>
      </c>
      <c r="M150" t="str">
        <f t="shared" si="11"/>
        <v>Needs Attention</v>
      </c>
    </row>
    <row r="151" spans="1:13">
      <c r="A151" t="s">
        <v>186</v>
      </c>
      <c r="B151" t="s">
        <v>23</v>
      </c>
      <c r="C151" t="s">
        <v>27</v>
      </c>
      <c r="D151" t="s">
        <v>31</v>
      </c>
      <c r="E151" t="s">
        <v>17</v>
      </c>
      <c r="F151" s="2">
        <v>30</v>
      </c>
      <c r="G151" s="3">
        <v>1443</v>
      </c>
      <c r="H151" s="2">
        <v>2</v>
      </c>
      <c r="I151" s="2">
        <v>64</v>
      </c>
      <c r="J151" t="str">
        <f t="shared" si="8"/>
        <v>Young Adult (20-35)</v>
      </c>
      <c r="K151" t="str">
        <f t="shared" si="9"/>
        <v>Low (&lt;3k)</v>
      </c>
      <c r="L151" t="str">
        <f t="shared" si="10"/>
        <v>Short (1-3 days)</v>
      </c>
      <c r="M151" t="str">
        <f t="shared" si="11"/>
        <v>Needs Attention</v>
      </c>
    </row>
    <row r="152" spans="1:13">
      <c r="A152" t="s">
        <v>187</v>
      </c>
      <c r="B152" t="s">
        <v>14</v>
      </c>
      <c r="C152" t="s">
        <v>44</v>
      </c>
      <c r="D152" t="s">
        <v>20</v>
      </c>
      <c r="E152" t="s">
        <v>21</v>
      </c>
      <c r="F152" s="2">
        <v>85</v>
      </c>
      <c r="G152" s="3">
        <v>1620</v>
      </c>
      <c r="H152" s="2">
        <v>1</v>
      </c>
      <c r="I152" s="2">
        <v>90</v>
      </c>
      <c r="J152" t="str">
        <f t="shared" si="8"/>
        <v>Senior (60+)</v>
      </c>
      <c r="K152" t="str">
        <f t="shared" si="9"/>
        <v>Low (&lt;3k)</v>
      </c>
      <c r="L152" t="str">
        <f t="shared" si="10"/>
        <v>Short (1-3 days)</v>
      </c>
      <c r="M152" t="str">
        <f t="shared" si="11"/>
        <v>Excellent</v>
      </c>
    </row>
    <row r="153" spans="1:13">
      <c r="A153" t="s">
        <v>188</v>
      </c>
      <c r="B153" t="s">
        <v>14</v>
      </c>
      <c r="C153" t="s">
        <v>15</v>
      </c>
      <c r="D153" t="s">
        <v>31</v>
      </c>
      <c r="E153" t="s">
        <v>17</v>
      </c>
      <c r="F153" s="2">
        <v>5</v>
      </c>
      <c r="G153" s="3">
        <v>14495</v>
      </c>
      <c r="H153" s="2">
        <v>10</v>
      </c>
      <c r="I153" s="2">
        <v>96</v>
      </c>
      <c r="J153" t="str">
        <f t="shared" si="8"/>
        <v>Child (0-12)</v>
      </c>
      <c r="K153" t="str">
        <f t="shared" si="9"/>
        <v>High (&gt;8k)</v>
      </c>
      <c r="L153" t="str">
        <f t="shared" si="10"/>
        <v>Long (8+ days)</v>
      </c>
      <c r="M153" t="str">
        <f t="shared" si="11"/>
        <v>Excellent</v>
      </c>
    </row>
    <row r="154" spans="1:13">
      <c r="A154" t="s">
        <v>189</v>
      </c>
      <c r="B154" t="s">
        <v>26</v>
      </c>
      <c r="C154" t="s">
        <v>15</v>
      </c>
      <c r="D154" t="s">
        <v>31</v>
      </c>
      <c r="E154" t="s">
        <v>21</v>
      </c>
      <c r="F154" s="2">
        <v>54</v>
      </c>
      <c r="G154" s="3">
        <v>7877</v>
      </c>
      <c r="H154" s="2">
        <v>8</v>
      </c>
      <c r="I154" s="2">
        <v>58</v>
      </c>
      <c r="J154" t="str">
        <f t="shared" si="8"/>
        <v>Adult (36-59)</v>
      </c>
      <c r="K154" t="str">
        <f t="shared" si="9"/>
        <v>Medium (3k-8k)</v>
      </c>
      <c r="L154" t="str">
        <f t="shared" si="10"/>
        <v>Long (8+ days)</v>
      </c>
      <c r="M154" t="str">
        <f t="shared" si="11"/>
        <v>Needs Attention</v>
      </c>
    </row>
    <row r="155" spans="1:13">
      <c r="A155" t="s">
        <v>190</v>
      </c>
      <c r="B155" t="s">
        <v>53</v>
      </c>
      <c r="C155" t="s">
        <v>30</v>
      </c>
      <c r="D155" t="s">
        <v>24</v>
      </c>
      <c r="E155" t="s">
        <v>17</v>
      </c>
      <c r="F155" s="2">
        <v>35</v>
      </c>
      <c r="G155" s="3">
        <v>2347</v>
      </c>
      <c r="H155" s="2">
        <v>6</v>
      </c>
      <c r="I155" s="2">
        <v>80</v>
      </c>
      <c r="J155" t="str">
        <f t="shared" si="8"/>
        <v>Young Adult (20-35)</v>
      </c>
      <c r="K155" t="str">
        <f t="shared" si="9"/>
        <v>Low (&lt;3k)</v>
      </c>
      <c r="L155" t="str">
        <f t="shared" si="10"/>
        <v>Medium (4-7 days)</v>
      </c>
      <c r="M155" t="str">
        <f t="shared" si="11"/>
        <v>Good</v>
      </c>
    </row>
    <row r="156" spans="1:13">
      <c r="A156" t="s">
        <v>191</v>
      </c>
      <c r="B156" t="s">
        <v>53</v>
      </c>
      <c r="C156" t="s">
        <v>30</v>
      </c>
      <c r="D156" t="s">
        <v>33</v>
      </c>
      <c r="E156" t="s">
        <v>17</v>
      </c>
      <c r="F156" s="2">
        <v>60</v>
      </c>
      <c r="G156" s="3">
        <v>1616</v>
      </c>
      <c r="H156" s="2">
        <v>4</v>
      </c>
      <c r="I156" s="2">
        <v>98</v>
      </c>
      <c r="J156" t="str">
        <f t="shared" si="8"/>
        <v>Senior (60+)</v>
      </c>
      <c r="K156" t="str">
        <f t="shared" si="9"/>
        <v>Low (&lt;3k)</v>
      </c>
      <c r="L156" t="str">
        <f t="shared" si="10"/>
        <v>Medium (4-7 days)</v>
      </c>
      <c r="M156" t="str">
        <f t="shared" si="11"/>
        <v>Excellent</v>
      </c>
    </row>
    <row r="157" spans="1:13">
      <c r="A157" t="s">
        <v>192</v>
      </c>
      <c r="B157" t="s">
        <v>26</v>
      </c>
      <c r="C157" t="s">
        <v>27</v>
      </c>
      <c r="D157" t="s">
        <v>24</v>
      </c>
      <c r="E157" t="s">
        <v>21</v>
      </c>
      <c r="F157" s="2">
        <v>51</v>
      </c>
      <c r="G157" s="3">
        <v>228</v>
      </c>
      <c r="H157" s="2">
        <v>2</v>
      </c>
      <c r="I157" s="2">
        <v>84</v>
      </c>
      <c r="J157" t="str">
        <f t="shared" si="8"/>
        <v>Adult (36-59)</v>
      </c>
      <c r="K157" t="str">
        <f t="shared" si="9"/>
        <v>Low (&lt;3k)</v>
      </c>
      <c r="L157" t="str">
        <f t="shared" si="10"/>
        <v>Short (1-3 days)</v>
      </c>
      <c r="M157" t="str">
        <f t="shared" si="11"/>
        <v>Good</v>
      </c>
    </row>
    <row r="158" spans="1:13">
      <c r="A158" t="s">
        <v>193</v>
      </c>
      <c r="B158" t="s">
        <v>19</v>
      </c>
      <c r="C158" t="s">
        <v>27</v>
      </c>
      <c r="D158" t="s">
        <v>33</v>
      </c>
      <c r="E158" t="s">
        <v>17</v>
      </c>
      <c r="F158" s="2">
        <v>87</v>
      </c>
      <c r="G158" s="3">
        <v>736</v>
      </c>
      <c r="H158" s="2">
        <v>3</v>
      </c>
      <c r="I158" s="2">
        <v>74</v>
      </c>
      <c r="J158" t="str">
        <f t="shared" si="8"/>
        <v>Senior (60+)</v>
      </c>
      <c r="K158" t="str">
        <f t="shared" si="9"/>
        <v>Low (&lt;3k)</v>
      </c>
      <c r="L158" t="str">
        <f t="shared" si="10"/>
        <v>Short (1-3 days)</v>
      </c>
      <c r="M158" t="str">
        <f t="shared" si="11"/>
        <v>Good</v>
      </c>
    </row>
    <row r="159" spans="1:13">
      <c r="A159" t="s">
        <v>194</v>
      </c>
      <c r="B159" t="s">
        <v>53</v>
      </c>
      <c r="C159" t="s">
        <v>30</v>
      </c>
      <c r="D159" t="s">
        <v>35</v>
      </c>
      <c r="E159" t="s">
        <v>17</v>
      </c>
      <c r="F159" s="2">
        <v>61</v>
      </c>
      <c r="G159" s="3">
        <v>1205</v>
      </c>
      <c r="H159" s="2">
        <v>10</v>
      </c>
      <c r="I159" s="2">
        <v>70</v>
      </c>
      <c r="J159" t="str">
        <f t="shared" si="8"/>
        <v>Senior (60+)</v>
      </c>
      <c r="K159" t="str">
        <f t="shared" si="9"/>
        <v>Low (&lt;3k)</v>
      </c>
      <c r="L159" t="str">
        <f t="shared" si="10"/>
        <v>Long (8+ days)</v>
      </c>
      <c r="M159" t="str">
        <f t="shared" si="11"/>
        <v>Good</v>
      </c>
    </row>
    <row r="160" spans="1:13">
      <c r="A160" t="s">
        <v>195</v>
      </c>
      <c r="B160" t="s">
        <v>23</v>
      </c>
      <c r="C160" t="s">
        <v>44</v>
      </c>
      <c r="D160" t="s">
        <v>35</v>
      </c>
      <c r="E160" t="s">
        <v>17</v>
      </c>
      <c r="F160" s="2">
        <v>60</v>
      </c>
      <c r="G160" s="3">
        <v>2975</v>
      </c>
      <c r="H160" s="2">
        <v>4</v>
      </c>
      <c r="I160" s="2">
        <v>57</v>
      </c>
      <c r="J160" t="str">
        <f t="shared" si="8"/>
        <v>Senior (60+)</v>
      </c>
      <c r="K160" t="str">
        <f t="shared" si="9"/>
        <v>Low (&lt;3k)</v>
      </c>
      <c r="L160" t="str">
        <f t="shared" si="10"/>
        <v>Medium (4-7 days)</v>
      </c>
      <c r="M160" t="str">
        <f t="shared" si="11"/>
        <v>Needs Attention</v>
      </c>
    </row>
    <row r="161" spans="1:13">
      <c r="A161" t="s">
        <v>196</v>
      </c>
      <c r="B161" t="s">
        <v>26</v>
      </c>
      <c r="C161" t="s">
        <v>15</v>
      </c>
      <c r="D161" t="s">
        <v>16</v>
      </c>
      <c r="E161" t="s">
        <v>21</v>
      </c>
      <c r="F161" s="2">
        <v>64</v>
      </c>
      <c r="G161" s="3">
        <v>6902</v>
      </c>
      <c r="H161" s="2">
        <v>6</v>
      </c>
      <c r="I161" s="2">
        <v>65</v>
      </c>
      <c r="J161" t="str">
        <f t="shared" si="8"/>
        <v>Senior (60+)</v>
      </c>
      <c r="K161" t="str">
        <f t="shared" si="9"/>
        <v>Medium (3k-8k)</v>
      </c>
      <c r="L161" t="str">
        <f t="shared" si="10"/>
        <v>Medium (4-7 days)</v>
      </c>
      <c r="M161" t="str">
        <f t="shared" si="11"/>
        <v>Needs Attention</v>
      </c>
    </row>
    <row r="162" spans="1:13">
      <c r="A162" t="s">
        <v>197</v>
      </c>
      <c r="B162" t="s">
        <v>23</v>
      </c>
      <c r="C162" t="s">
        <v>44</v>
      </c>
      <c r="D162" t="s">
        <v>51</v>
      </c>
      <c r="E162" t="s">
        <v>21</v>
      </c>
      <c r="F162" s="2">
        <v>86</v>
      </c>
      <c r="G162" s="3">
        <v>4925</v>
      </c>
      <c r="H162" s="2">
        <v>4</v>
      </c>
      <c r="I162" s="2">
        <v>87</v>
      </c>
      <c r="J162" t="str">
        <f t="shared" si="8"/>
        <v>Senior (60+)</v>
      </c>
      <c r="K162" t="str">
        <f t="shared" si="9"/>
        <v>Medium (3k-8k)</v>
      </c>
      <c r="L162" t="str">
        <f t="shared" si="10"/>
        <v>Medium (4-7 days)</v>
      </c>
      <c r="M162" t="str">
        <f t="shared" si="11"/>
        <v>Excellent</v>
      </c>
    </row>
    <row r="163" spans="1:13">
      <c r="A163" t="s">
        <v>198</v>
      </c>
      <c r="B163" t="s">
        <v>14</v>
      </c>
      <c r="C163" t="s">
        <v>44</v>
      </c>
      <c r="D163" t="s">
        <v>51</v>
      </c>
      <c r="E163" t="s">
        <v>17</v>
      </c>
      <c r="F163" s="2">
        <v>63</v>
      </c>
      <c r="G163" s="3">
        <v>3843</v>
      </c>
      <c r="H163" s="2">
        <v>3</v>
      </c>
      <c r="I163" s="2">
        <v>52</v>
      </c>
      <c r="J163" t="str">
        <f t="shared" si="8"/>
        <v>Senior (60+)</v>
      </c>
      <c r="K163" t="str">
        <f t="shared" si="9"/>
        <v>Medium (3k-8k)</v>
      </c>
      <c r="L163" t="str">
        <f t="shared" si="10"/>
        <v>Short (1-3 days)</v>
      </c>
      <c r="M163" t="str">
        <f t="shared" si="11"/>
        <v>Needs Attention</v>
      </c>
    </row>
    <row r="164" spans="1:13">
      <c r="A164" t="s">
        <v>199</v>
      </c>
      <c r="B164" t="s">
        <v>14</v>
      </c>
      <c r="C164" t="s">
        <v>30</v>
      </c>
      <c r="D164" t="s">
        <v>64</v>
      </c>
      <c r="E164" t="s">
        <v>21</v>
      </c>
      <c r="F164" s="2">
        <v>31</v>
      </c>
      <c r="G164" s="3">
        <v>3971</v>
      </c>
      <c r="H164" s="2">
        <v>3</v>
      </c>
      <c r="I164" s="2">
        <v>93</v>
      </c>
      <c r="J164" t="str">
        <f t="shared" si="8"/>
        <v>Young Adult (20-35)</v>
      </c>
      <c r="K164" t="str">
        <f t="shared" si="9"/>
        <v>Medium (3k-8k)</v>
      </c>
      <c r="L164" t="str">
        <f t="shared" si="10"/>
        <v>Short (1-3 days)</v>
      </c>
      <c r="M164" t="str">
        <f t="shared" si="11"/>
        <v>Excellent</v>
      </c>
    </row>
    <row r="165" spans="1:13">
      <c r="A165" t="s">
        <v>200</v>
      </c>
      <c r="B165" t="s">
        <v>48</v>
      </c>
      <c r="C165" t="s">
        <v>30</v>
      </c>
      <c r="D165" t="s">
        <v>16</v>
      </c>
      <c r="E165" t="s">
        <v>21</v>
      </c>
      <c r="F165" s="2">
        <v>25</v>
      </c>
      <c r="G165" s="3">
        <v>2000</v>
      </c>
      <c r="H165" s="2">
        <v>9</v>
      </c>
      <c r="I165" s="2">
        <v>55</v>
      </c>
      <c r="J165" t="str">
        <f t="shared" si="8"/>
        <v>Young Adult (20-35)</v>
      </c>
      <c r="K165" t="str">
        <f t="shared" si="9"/>
        <v>Low (&lt;3k)</v>
      </c>
      <c r="L165" t="str">
        <f t="shared" si="10"/>
        <v>Long (8+ days)</v>
      </c>
      <c r="M165" t="str">
        <f t="shared" si="11"/>
        <v>Needs Attention</v>
      </c>
    </row>
    <row r="166" spans="1:13">
      <c r="A166" t="s">
        <v>201</v>
      </c>
      <c r="B166" t="s">
        <v>14</v>
      </c>
      <c r="C166" t="s">
        <v>44</v>
      </c>
      <c r="D166" t="s">
        <v>20</v>
      </c>
      <c r="E166" t="s">
        <v>17</v>
      </c>
      <c r="F166" s="2">
        <v>7</v>
      </c>
      <c r="G166" s="3">
        <v>3232</v>
      </c>
      <c r="H166" s="2">
        <v>2</v>
      </c>
      <c r="I166" s="2">
        <v>58</v>
      </c>
      <c r="J166" t="str">
        <f t="shared" si="8"/>
        <v>Child (0-12)</v>
      </c>
      <c r="K166" t="str">
        <f t="shared" si="9"/>
        <v>Medium (3k-8k)</v>
      </c>
      <c r="L166" t="str">
        <f t="shared" si="10"/>
        <v>Short (1-3 days)</v>
      </c>
      <c r="M166" t="str">
        <f t="shared" si="11"/>
        <v>Needs Attention</v>
      </c>
    </row>
    <row r="167" spans="1:13">
      <c r="A167" t="s">
        <v>202</v>
      </c>
      <c r="B167" t="s">
        <v>53</v>
      </c>
      <c r="C167" t="s">
        <v>44</v>
      </c>
      <c r="D167" t="s">
        <v>35</v>
      </c>
      <c r="E167" t="s">
        <v>17</v>
      </c>
      <c r="F167" s="2">
        <v>71</v>
      </c>
      <c r="G167" s="3">
        <v>2197</v>
      </c>
      <c r="H167" s="2">
        <v>5</v>
      </c>
      <c r="I167" s="2">
        <v>63</v>
      </c>
      <c r="J167" t="str">
        <f t="shared" si="8"/>
        <v>Senior (60+)</v>
      </c>
      <c r="K167" t="str">
        <f t="shared" si="9"/>
        <v>Low (&lt;3k)</v>
      </c>
      <c r="L167" t="str">
        <f t="shared" si="10"/>
        <v>Medium (4-7 days)</v>
      </c>
      <c r="M167" t="str">
        <f t="shared" si="11"/>
        <v>Needs Attention</v>
      </c>
    </row>
    <row r="168" spans="1:13">
      <c r="A168" t="s">
        <v>203</v>
      </c>
      <c r="B168" t="s">
        <v>53</v>
      </c>
      <c r="C168" t="s">
        <v>44</v>
      </c>
      <c r="D168" t="s">
        <v>33</v>
      </c>
      <c r="E168" t="s">
        <v>17</v>
      </c>
      <c r="F168" s="2">
        <v>77</v>
      </c>
      <c r="G168" s="3">
        <v>523</v>
      </c>
      <c r="H168" s="2">
        <v>3</v>
      </c>
      <c r="I168" s="2">
        <v>59</v>
      </c>
      <c r="J168" t="str">
        <f t="shared" si="8"/>
        <v>Senior (60+)</v>
      </c>
      <c r="K168" t="str">
        <f t="shared" si="9"/>
        <v>Low (&lt;3k)</v>
      </c>
      <c r="L168" t="str">
        <f t="shared" si="10"/>
        <v>Short (1-3 days)</v>
      </c>
      <c r="M168" t="str">
        <f t="shared" si="11"/>
        <v>Needs Attention</v>
      </c>
    </row>
    <row r="169" spans="1:13">
      <c r="A169" t="s">
        <v>204</v>
      </c>
      <c r="B169" t="s">
        <v>26</v>
      </c>
      <c r="C169" t="s">
        <v>30</v>
      </c>
      <c r="D169" t="s">
        <v>46</v>
      </c>
      <c r="E169" t="s">
        <v>21</v>
      </c>
      <c r="F169" s="2">
        <v>4</v>
      </c>
      <c r="G169" s="3">
        <v>2079</v>
      </c>
      <c r="H169" s="2">
        <v>2</v>
      </c>
      <c r="I169" s="2">
        <v>72</v>
      </c>
      <c r="J169" t="str">
        <f t="shared" si="8"/>
        <v>Child (0-12)</v>
      </c>
      <c r="K169" t="str">
        <f t="shared" si="9"/>
        <v>Low (&lt;3k)</v>
      </c>
      <c r="L169" t="str">
        <f t="shared" si="10"/>
        <v>Short (1-3 days)</v>
      </c>
      <c r="M169" t="str">
        <f t="shared" si="11"/>
        <v>Good</v>
      </c>
    </row>
    <row r="170" spans="1:13">
      <c r="A170" t="s">
        <v>205</v>
      </c>
      <c r="B170" t="s">
        <v>53</v>
      </c>
      <c r="C170" t="s">
        <v>44</v>
      </c>
      <c r="D170" t="s">
        <v>20</v>
      </c>
      <c r="E170" t="s">
        <v>21</v>
      </c>
      <c r="F170" s="2">
        <v>23</v>
      </c>
      <c r="G170" s="3">
        <v>2673</v>
      </c>
      <c r="H170" s="2">
        <v>1</v>
      </c>
      <c r="I170" s="2">
        <v>58</v>
      </c>
      <c r="J170" t="str">
        <f t="shared" si="8"/>
        <v>Young Adult (20-35)</v>
      </c>
      <c r="K170" t="str">
        <f t="shared" si="9"/>
        <v>Low (&lt;3k)</v>
      </c>
      <c r="L170" t="str">
        <f t="shared" si="10"/>
        <v>Short (1-3 days)</v>
      </c>
      <c r="M170" t="str">
        <f t="shared" si="11"/>
        <v>Needs Attention</v>
      </c>
    </row>
    <row r="171" spans="1:13">
      <c r="A171" t="s">
        <v>206</v>
      </c>
      <c r="B171" t="s">
        <v>14</v>
      </c>
      <c r="C171" t="s">
        <v>27</v>
      </c>
      <c r="D171" t="s">
        <v>24</v>
      </c>
      <c r="E171" t="s">
        <v>21</v>
      </c>
      <c r="F171" s="2">
        <v>9</v>
      </c>
      <c r="G171" s="3">
        <v>1175</v>
      </c>
      <c r="H171" s="2">
        <v>2</v>
      </c>
      <c r="I171" s="2">
        <v>99</v>
      </c>
      <c r="J171" t="str">
        <f t="shared" si="8"/>
        <v>Child (0-12)</v>
      </c>
      <c r="K171" t="str">
        <f t="shared" si="9"/>
        <v>Low (&lt;3k)</v>
      </c>
      <c r="L171" t="str">
        <f t="shared" si="10"/>
        <v>Short (1-3 days)</v>
      </c>
      <c r="M171" t="str">
        <f t="shared" si="11"/>
        <v>Excellent</v>
      </c>
    </row>
    <row r="172" spans="1:13">
      <c r="A172" t="s">
        <v>207</v>
      </c>
      <c r="B172" t="s">
        <v>48</v>
      </c>
      <c r="C172" t="s">
        <v>15</v>
      </c>
      <c r="D172" t="s">
        <v>38</v>
      </c>
      <c r="E172" t="s">
        <v>17</v>
      </c>
      <c r="F172" s="2">
        <v>79</v>
      </c>
      <c r="G172" s="3">
        <v>5710</v>
      </c>
      <c r="H172" s="2">
        <v>15</v>
      </c>
      <c r="I172" s="2">
        <v>83</v>
      </c>
      <c r="J172" t="str">
        <f t="shared" si="8"/>
        <v>Senior (60+)</v>
      </c>
      <c r="K172" t="str">
        <f t="shared" si="9"/>
        <v>Medium (3k-8k)</v>
      </c>
      <c r="L172" t="str">
        <f t="shared" si="10"/>
        <v>Long (8+ days)</v>
      </c>
      <c r="M172" t="str">
        <f t="shared" si="11"/>
        <v>Good</v>
      </c>
    </row>
    <row r="173" spans="1:13">
      <c r="A173" t="s">
        <v>208</v>
      </c>
      <c r="B173" t="s">
        <v>48</v>
      </c>
      <c r="C173" t="s">
        <v>27</v>
      </c>
      <c r="D173" t="s">
        <v>16</v>
      </c>
      <c r="E173" t="s">
        <v>21</v>
      </c>
      <c r="F173" s="2">
        <v>62</v>
      </c>
      <c r="G173" s="3">
        <v>1935</v>
      </c>
      <c r="H173" s="2">
        <v>2</v>
      </c>
      <c r="I173" s="2">
        <v>77</v>
      </c>
      <c r="J173" t="str">
        <f t="shared" si="8"/>
        <v>Senior (60+)</v>
      </c>
      <c r="K173" t="str">
        <f t="shared" si="9"/>
        <v>Low (&lt;3k)</v>
      </c>
      <c r="L173" t="str">
        <f t="shared" si="10"/>
        <v>Short (1-3 days)</v>
      </c>
      <c r="M173" t="str">
        <f t="shared" si="11"/>
        <v>Good</v>
      </c>
    </row>
    <row r="174" spans="1:13">
      <c r="A174" t="s">
        <v>209</v>
      </c>
      <c r="B174" t="s">
        <v>14</v>
      </c>
      <c r="C174" t="s">
        <v>15</v>
      </c>
      <c r="D174" t="s">
        <v>38</v>
      </c>
      <c r="E174" t="s">
        <v>17</v>
      </c>
      <c r="F174" s="2">
        <v>57</v>
      </c>
      <c r="G174" s="3">
        <v>6204</v>
      </c>
      <c r="H174" s="2">
        <v>6</v>
      </c>
      <c r="I174" s="2">
        <v>70</v>
      </c>
      <c r="J174" t="str">
        <f t="shared" si="8"/>
        <v>Adult (36-59)</v>
      </c>
      <c r="K174" t="str">
        <f t="shared" si="9"/>
        <v>Medium (3k-8k)</v>
      </c>
      <c r="L174" t="str">
        <f t="shared" si="10"/>
        <v>Medium (4-7 days)</v>
      </c>
      <c r="M174" t="str">
        <f t="shared" si="11"/>
        <v>Good</v>
      </c>
    </row>
    <row r="175" spans="1:13">
      <c r="A175" t="s">
        <v>210</v>
      </c>
      <c r="B175" t="s">
        <v>23</v>
      </c>
      <c r="C175" t="s">
        <v>44</v>
      </c>
      <c r="D175" t="s">
        <v>35</v>
      </c>
      <c r="E175" t="s">
        <v>21</v>
      </c>
      <c r="F175" s="2">
        <v>80</v>
      </c>
      <c r="G175" s="3">
        <v>4992</v>
      </c>
      <c r="H175" s="2">
        <v>3</v>
      </c>
      <c r="I175" s="2">
        <v>74</v>
      </c>
      <c r="J175" t="str">
        <f t="shared" si="8"/>
        <v>Senior (60+)</v>
      </c>
      <c r="K175" t="str">
        <f t="shared" si="9"/>
        <v>Medium (3k-8k)</v>
      </c>
      <c r="L175" t="str">
        <f t="shared" si="10"/>
        <v>Short (1-3 days)</v>
      </c>
      <c r="M175" t="str">
        <f t="shared" si="11"/>
        <v>Good</v>
      </c>
    </row>
    <row r="176" spans="1:13">
      <c r="A176" t="s">
        <v>211</v>
      </c>
      <c r="B176" t="s">
        <v>23</v>
      </c>
      <c r="C176" t="s">
        <v>30</v>
      </c>
      <c r="D176" t="s">
        <v>38</v>
      </c>
      <c r="E176" t="s">
        <v>17</v>
      </c>
      <c r="F176" s="2">
        <v>56</v>
      </c>
      <c r="G176" s="3">
        <v>1812</v>
      </c>
      <c r="H176" s="2">
        <v>3</v>
      </c>
      <c r="I176" s="2">
        <v>91</v>
      </c>
      <c r="J176" t="str">
        <f t="shared" si="8"/>
        <v>Adult (36-59)</v>
      </c>
      <c r="K176" t="str">
        <f t="shared" si="9"/>
        <v>Low (&lt;3k)</v>
      </c>
      <c r="L176" t="str">
        <f t="shared" si="10"/>
        <v>Short (1-3 days)</v>
      </c>
      <c r="M176" t="str">
        <f t="shared" si="11"/>
        <v>Excellent</v>
      </c>
    </row>
    <row r="177" spans="1:13">
      <c r="A177" t="s">
        <v>212</v>
      </c>
      <c r="B177" t="s">
        <v>14</v>
      </c>
      <c r="C177" t="s">
        <v>44</v>
      </c>
      <c r="D177" t="s">
        <v>51</v>
      </c>
      <c r="E177" t="s">
        <v>21</v>
      </c>
      <c r="F177" s="2">
        <v>30</v>
      </c>
      <c r="G177" s="3">
        <v>3889</v>
      </c>
      <c r="H177" s="2">
        <v>3</v>
      </c>
      <c r="I177" s="2">
        <v>79</v>
      </c>
      <c r="J177" t="str">
        <f t="shared" si="8"/>
        <v>Young Adult (20-35)</v>
      </c>
      <c r="K177" t="str">
        <f t="shared" si="9"/>
        <v>Medium (3k-8k)</v>
      </c>
      <c r="L177" t="str">
        <f t="shared" si="10"/>
        <v>Short (1-3 days)</v>
      </c>
      <c r="M177" t="str">
        <f t="shared" si="11"/>
        <v>Good</v>
      </c>
    </row>
    <row r="178" spans="1:13">
      <c r="A178" t="s">
        <v>213</v>
      </c>
      <c r="B178" t="s">
        <v>29</v>
      </c>
      <c r="C178" t="s">
        <v>27</v>
      </c>
      <c r="D178" t="s">
        <v>35</v>
      </c>
      <c r="E178" t="s">
        <v>21</v>
      </c>
      <c r="F178" s="2">
        <v>41</v>
      </c>
      <c r="G178" s="3">
        <v>1562</v>
      </c>
      <c r="H178" s="2">
        <v>2</v>
      </c>
      <c r="I178" s="2">
        <v>73</v>
      </c>
      <c r="J178" t="str">
        <f t="shared" si="8"/>
        <v>Adult (36-59)</v>
      </c>
      <c r="K178" t="str">
        <f t="shared" si="9"/>
        <v>Low (&lt;3k)</v>
      </c>
      <c r="L178" t="str">
        <f t="shared" si="10"/>
        <v>Short (1-3 days)</v>
      </c>
      <c r="M178" t="str">
        <f t="shared" si="11"/>
        <v>Good</v>
      </c>
    </row>
    <row r="179" spans="1:13">
      <c r="A179" t="s">
        <v>214</v>
      </c>
      <c r="B179" t="s">
        <v>26</v>
      </c>
      <c r="C179" t="s">
        <v>27</v>
      </c>
      <c r="D179" t="s">
        <v>35</v>
      </c>
      <c r="E179" t="s">
        <v>21</v>
      </c>
      <c r="F179" s="2">
        <v>11</v>
      </c>
      <c r="G179" s="3">
        <v>390</v>
      </c>
      <c r="H179" s="2">
        <v>2</v>
      </c>
      <c r="I179" s="2">
        <v>56</v>
      </c>
      <c r="J179" t="str">
        <f t="shared" si="8"/>
        <v>Child (0-12)</v>
      </c>
      <c r="K179" t="str">
        <f t="shared" si="9"/>
        <v>Low (&lt;3k)</v>
      </c>
      <c r="L179" t="str">
        <f t="shared" si="10"/>
        <v>Short (1-3 days)</v>
      </c>
      <c r="M179" t="str">
        <f t="shared" si="11"/>
        <v>Needs Attention</v>
      </c>
    </row>
    <row r="180" spans="1:13">
      <c r="A180" t="s">
        <v>215</v>
      </c>
      <c r="B180" t="s">
        <v>14</v>
      </c>
      <c r="C180" t="s">
        <v>30</v>
      </c>
      <c r="D180" t="s">
        <v>46</v>
      </c>
      <c r="E180" t="s">
        <v>17</v>
      </c>
      <c r="F180" s="2">
        <v>76</v>
      </c>
      <c r="G180" s="3">
        <v>5600</v>
      </c>
      <c r="H180" s="2">
        <v>10</v>
      </c>
      <c r="I180" s="2">
        <v>71</v>
      </c>
      <c r="J180" t="str">
        <f t="shared" si="8"/>
        <v>Senior (60+)</v>
      </c>
      <c r="K180" t="str">
        <f t="shared" si="9"/>
        <v>Medium (3k-8k)</v>
      </c>
      <c r="L180" t="str">
        <f t="shared" si="10"/>
        <v>Long (8+ days)</v>
      </c>
      <c r="M180" t="str">
        <f t="shared" si="11"/>
        <v>Good</v>
      </c>
    </row>
    <row r="181" spans="1:13">
      <c r="A181" t="s">
        <v>216</v>
      </c>
      <c r="B181" t="s">
        <v>14</v>
      </c>
      <c r="C181" t="s">
        <v>15</v>
      </c>
      <c r="D181" t="s">
        <v>51</v>
      </c>
      <c r="E181" t="s">
        <v>21</v>
      </c>
      <c r="F181" s="2">
        <v>86</v>
      </c>
      <c r="G181" s="3">
        <v>17292</v>
      </c>
      <c r="H181" s="2">
        <v>11</v>
      </c>
      <c r="I181" s="2">
        <v>96</v>
      </c>
      <c r="J181" t="str">
        <f t="shared" si="8"/>
        <v>Senior (60+)</v>
      </c>
      <c r="K181" t="str">
        <f t="shared" si="9"/>
        <v>High (&gt;8k)</v>
      </c>
      <c r="L181" t="str">
        <f t="shared" si="10"/>
        <v>Long (8+ days)</v>
      </c>
      <c r="M181" t="str">
        <f t="shared" si="11"/>
        <v>Excellent</v>
      </c>
    </row>
    <row r="182" spans="1:13">
      <c r="A182" t="s">
        <v>217</v>
      </c>
      <c r="B182" t="s">
        <v>19</v>
      </c>
      <c r="C182" t="s">
        <v>30</v>
      </c>
      <c r="D182" t="s">
        <v>20</v>
      </c>
      <c r="E182" t="s">
        <v>21</v>
      </c>
      <c r="F182" s="2">
        <v>14</v>
      </c>
      <c r="G182" s="3">
        <v>5734</v>
      </c>
      <c r="H182" s="2">
        <v>10</v>
      </c>
      <c r="I182" s="2">
        <v>63</v>
      </c>
      <c r="J182" t="str">
        <f t="shared" si="8"/>
        <v>Teen (13-19)</v>
      </c>
      <c r="K182" t="str">
        <f t="shared" si="9"/>
        <v>Medium (3k-8k)</v>
      </c>
      <c r="L182" t="str">
        <f t="shared" si="10"/>
        <v>Long (8+ days)</v>
      </c>
      <c r="M182" t="str">
        <f t="shared" si="11"/>
        <v>Needs Attention</v>
      </c>
    </row>
    <row r="183" spans="1:13">
      <c r="A183" t="s">
        <v>218</v>
      </c>
      <c r="B183" t="s">
        <v>26</v>
      </c>
      <c r="C183" t="s">
        <v>27</v>
      </c>
      <c r="D183" t="s">
        <v>64</v>
      </c>
      <c r="E183" t="s">
        <v>17</v>
      </c>
      <c r="F183" s="2">
        <v>45</v>
      </c>
      <c r="G183" s="3">
        <v>1931</v>
      </c>
      <c r="H183" s="2">
        <v>3</v>
      </c>
      <c r="I183" s="2">
        <v>73</v>
      </c>
      <c r="J183" t="str">
        <f t="shared" si="8"/>
        <v>Adult (36-59)</v>
      </c>
      <c r="K183" t="str">
        <f t="shared" si="9"/>
        <v>Low (&lt;3k)</v>
      </c>
      <c r="L183" t="str">
        <f t="shared" si="10"/>
        <v>Short (1-3 days)</v>
      </c>
      <c r="M183" t="str">
        <f t="shared" si="11"/>
        <v>Good</v>
      </c>
    </row>
    <row r="184" spans="1:13">
      <c r="A184" t="s">
        <v>219</v>
      </c>
      <c r="B184" t="s">
        <v>19</v>
      </c>
      <c r="C184" t="s">
        <v>30</v>
      </c>
      <c r="D184" t="s">
        <v>20</v>
      </c>
      <c r="E184" t="s">
        <v>21</v>
      </c>
      <c r="F184" s="2">
        <v>55</v>
      </c>
      <c r="G184" s="3">
        <v>5595</v>
      </c>
      <c r="H184" s="2">
        <v>10</v>
      </c>
      <c r="I184" s="2">
        <v>51</v>
      </c>
      <c r="J184" t="str">
        <f t="shared" si="8"/>
        <v>Adult (36-59)</v>
      </c>
      <c r="K184" t="str">
        <f t="shared" si="9"/>
        <v>Medium (3k-8k)</v>
      </c>
      <c r="L184" t="str">
        <f t="shared" si="10"/>
        <v>Long (8+ days)</v>
      </c>
      <c r="M184" t="str">
        <f t="shared" si="11"/>
        <v>Needs Attention</v>
      </c>
    </row>
    <row r="185" spans="1:13">
      <c r="A185" t="s">
        <v>220</v>
      </c>
      <c r="B185" t="s">
        <v>23</v>
      </c>
      <c r="C185" t="s">
        <v>30</v>
      </c>
      <c r="D185" t="s">
        <v>16</v>
      </c>
      <c r="E185" t="s">
        <v>21</v>
      </c>
      <c r="F185" s="2">
        <v>90</v>
      </c>
      <c r="G185" s="3">
        <v>3531</v>
      </c>
      <c r="H185" s="2">
        <v>7</v>
      </c>
      <c r="I185" s="2">
        <v>72</v>
      </c>
      <c r="J185" t="str">
        <f t="shared" si="8"/>
        <v>Senior (60+)</v>
      </c>
      <c r="K185" t="str">
        <f t="shared" si="9"/>
        <v>Medium (3k-8k)</v>
      </c>
      <c r="L185" t="str">
        <f t="shared" si="10"/>
        <v>Medium (4-7 days)</v>
      </c>
      <c r="M185" t="str">
        <f t="shared" si="11"/>
        <v>Good</v>
      </c>
    </row>
    <row r="186" spans="1:13">
      <c r="A186" t="s">
        <v>221</v>
      </c>
      <c r="B186" t="s">
        <v>19</v>
      </c>
      <c r="C186" t="s">
        <v>44</v>
      </c>
      <c r="D186" t="s">
        <v>46</v>
      </c>
      <c r="E186" t="s">
        <v>17</v>
      </c>
      <c r="F186" s="2">
        <v>52</v>
      </c>
      <c r="G186" s="3">
        <v>1070</v>
      </c>
      <c r="H186" s="2">
        <v>2</v>
      </c>
      <c r="I186" s="2">
        <v>97</v>
      </c>
      <c r="J186" t="str">
        <f t="shared" si="8"/>
        <v>Adult (36-59)</v>
      </c>
      <c r="K186" t="str">
        <f t="shared" si="9"/>
        <v>Low (&lt;3k)</v>
      </c>
      <c r="L186" t="str">
        <f t="shared" si="10"/>
        <v>Short (1-3 days)</v>
      </c>
      <c r="M186" t="str">
        <f t="shared" si="11"/>
        <v>Excellent</v>
      </c>
    </row>
    <row r="187" spans="1:13">
      <c r="A187" t="s">
        <v>222</v>
      </c>
      <c r="B187" t="s">
        <v>14</v>
      </c>
      <c r="C187" t="s">
        <v>15</v>
      </c>
      <c r="D187" t="s">
        <v>35</v>
      </c>
      <c r="E187" t="s">
        <v>17</v>
      </c>
      <c r="F187" s="2">
        <v>28</v>
      </c>
      <c r="G187" s="3">
        <v>11163</v>
      </c>
      <c r="H187" s="2">
        <v>11</v>
      </c>
      <c r="I187" s="2">
        <v>79</v>
      </c>
      <c r="J187" t="str">
        <f t="shared" si="8"/>
        <v>Young Adult (20-35)</v>
      </c>
      <c r="K187" t="str">
        <f t="shared" si="9"/>
        <v>High (&gt;8k)</v>
      </c>
      <c r="L187" t="str">
        <f t="shared" si="10"/>
        <v>Long (8+ days)</v>
      </c>
      <c r="M187" t="str">
        <f t="shared" si="11"/>
        <v>Good</v>
      </c>
    </row>
    <row r="188" spans="1:13">
      <c r="A188" t="s">
        <v>223</v>
      </c>
      <c r="B188" t="s">
        <v>48</v>
      </c>
      <c r="C188" t="s">
        <v>44</v>
      </c>
      <c r="D188" t="s">
        <v>33</v>
      </c>
      <c r="E188" t="s">
        <v>21</v>
      </c>
      <c r="F188" s="2">
        <v>42</v>
      </c>
      <c r="G188" s="3">
        <v>1195</v>
      </c>
      <c r="H188" s="2">
        <v>1</v>
      </c>
      <c r="I188" s="2">
        <v>59</v>
      </c>
      <c r="J188" t="str">
        <f t="shared" si="8"/>
        <v>Adult (36-59)</v>
      </c>
      <c r="K188" t="str">
        <f t="shared" si="9"/>
        <v>Low (&lt;3k)</v>
      </c>
      <c r="L188" t="str">
        <f t="shared" si="10"/>
        <v>Short (1-3 days)</v>
      </c>
      <c r="M188" t="str">
        <f t="shared" si="11"/>
        <v>Needs Attention</v>
      </c>
    </row>
    <row r="189" spans="1:13">
      <c r="A189" t="s">
        <v>224</v>
      </c>
      <c r="B189" t="s">
        <v>26</v>
      </c>
      <c r="C189" t="s">
        <v>15</v>
      </c>
      <c r="D189" t="s">
        <v>35</v>
      </c>
      <c r="E189" t="s">
        <v>21</v>
      </c>
      <c r="F189" s="2">
        <v>85</v>
      </c>
      <c r="G189" s="3">
        <v>11947</v>
      </c>
      <c r="H189" s="2">
        <v>12</v>
      </c>
      <c r="I189" s="2">
        <v>88</v>
      </c>
      <c r="J189" t="str">
        <f t="shared" si="8"/>
        <v>Senior (60+)</v>
      </c>
      <c r="K189" t="str">
        <f t="shared" si="9"/>
        <v>High (&gt;8k)</v>
      </c>
      <c r="L189" t="str">
        <f t="shared" si="10"/>
        <v>Long (8+ days)</v>
      </c>
      <c r="M189" t="str">
        <f t="shared" si="11"/>
        <v>Excellent</v>
      </c>
    </row>
    <row r="190" spans="1:13">
      <c r="A190" t="s">
        <v>225</v>
      </c>
      <c r="B190" t="s">
        <v>29</v>
      </c>
      <c r="C190" t="s">
        <v>27</v>
      </c>
      <c r="D190" t="s">
        <v>31</v>
      </c>
      <c r="E190" t="s">
        <v>21</v>
      </c>
      <c r="F190" s="2">
        <v>66</v>
      </c>
      <c r="G190" s="3">
        <v>433</v>
      </c>
      <c r="H190" s="2">
        <v>2</v>
      </c>
      <c r="I190" s="2">
        <v>77</v>
      </c>
      <c r="J190" t="str">
        <f t="shared" si="8"/>
        <v>Senior (60+)</v>
      </c>
      <c r="K190" t="str">
        <f t="shared" si="9"/>
        <v>Low (&lt;3k)</v>
      </c>
      <c r="L190" t="str">
        <f t="shared" si="10"/>
        <v>Short (1-3 days)</v>
      </c>
      <c r="M190" t="str">
        <f t="shared" si="11"/>
        <v>Good</v>
      </c>
    </row>
    <row r="191" spans="1:13">
      <c r="A191" t="s">
        <v>226</v>
      </c>
      <c r="B191" t="s">
        <v>19</v>
      </c>
      <c r="C191" t="s">
        <v>30</v>
      </c>
      <c r="D191" t="s">
        <v>20</v>
      </c>
      <c r="E191" t="s">
        <v>21</v>
      </c>
      <c r="F191" s="2">
        <v>86</v>
      </c>
      <c r="G191" s="3">
        <v>3526</v>
      </c>
      <c r="H191" s="2">
        <v>2</v>
      </c>
      <c r="I191" s="2">
        <v>64</v>
      </c>
      <c r="J191" t="str">
        <f t="shared" si="8"/>
        <v>Senior (60+)</v>
      </c>
      <c r="K191" t="str">
        <f t="shared" si="9"/>
        <v>Medium (3k-8k)</v>
      </c>
      <c r="L191" t="str">
        <f t="shared" si="10"/>
        <v>Short (1-3 days)</v>
      </c>
      <c r="M191" t="str">
        <f t="shared" si="11"/>
        <v>Needs Attention</v>
      </c>
    </row>
    <row r="192" spans="1:13">
      <c r="A192" t="s">
        <v>227</v>
      </c>
      <c r="B192" t="s">
        <v>29</v>
      </c>
      <c r="C192" t="s">
        <v>15</v>
      </c>
      <c r="D192" t="s">
        <v>16</v>
      </c>
      <c r="E192" t="s">
        <v>21</v>
      </c>
      <c r="F192" s="2">
        <v>28</v>
      </c>
      <c r="G192" s="3">
        <v>17572</v>
      </c>
      <c r="H192" s="2">
        <v>7</v>
      </c>
      <c r="I192" s="2">
        <v>98</v>
      </c>
      <c r="J192" t="str">
        <f t="shared" si="8"/>
        <v>Young Adult (20-35)</v>
      </c>
      <c r="K192" t="str">
        <f t="shared" si="9"/>
        <v>High (&gt;8k)</v>
      </c>
      <c r="L192" t="str">
        <f t="shared" si="10"/>
        <v>Medium (4-7 days)</v>
      </c>
      <c r="M192" t="str">
        <f t="shared" si="11"/>
        <v>Excellent</v>
      </c>
    </row>
    <row r="193" spans="1:13">
      <c r="A193" t="s">
        <v>228</v>
      </c>
      <c r="B193" t="s">
        <v>48</v>
      </c>
      <c r="C193" t="s">
        <v>30</v>
      </c>
      <c r="D193" t="s">
        <v>33</v>
      </c>
      <c r="E193" t="s">
        <v>21</v>
      </c>
      <c r="F193" s="2">
        <v>64</v>
      </c>
      <c r="G193" s="3">
        <v>4527</v>
      </c>
      <c r="H193" s="2">
        <v>4</v>
      </c>
      <c r="I193" s="2">
        <v>58</v>
      </c>
      <c r="J193" t="str">
        <f t="shared" si="8"/>
        <v>Senior (60+)</v>
      </c>
      <c r="K193" t="str">
        <f t="shared" si="9"/>
        <v>Medium (3k-8k)</v>
      </c>
      <c r="L193" t="str">
        <f t="shared" si="10"/>
        <v>Medium (4-7 days)</v>
      </c>
      <c r="M193" t="str">
        <f t="shared" si="11"/>
        <v>Needs Attention</v>
      </c>
    </row>
    <row r="194" spans="1:13">
      <c r="A194" t="s">
        <v>229</v>
      </c>
      <c r="B194" t="s">
        <v>29</v>
      </c>
      <c r="C194" t="s">
        <v>44</v>
      </c>
      <c r="D194" t="s">
        <v>24</v>
      </c>
      <c r="E194" t="s">
        <v>17</v>
      </c>
      <c r="F194" s="2">
        <v>86</v>
      </c>
      <c r="G194" s="3">
        <v>3401</v>
      </c>
      <c r="H194" s="2">
        <v>1</v>
      </c>
      <c r="I194" s="2">
        <v>75</v>
      </c>
      <c r="J194" t="str">
        <f t="shared" ref="J194:J257" si="12">IF(F194&lt;=12,"Child (0-12)",IF(F194&lt;=19,"Teen (13-19)",IF(F194&lt;=35,"Young Adult (20-35)",IF(F194&lt;=59,"Adult (36-59)","Senior (60+)"))))</f>
        <v>Senior (60+)</v>
      </c>
      <c r="K194" t="str">
        <f t="shared" ref="K194:K257" si="13">IF(G194&lt;3000,"Low (&lt;3k)",IF(G194&lt;=8000,"Medium (3k-8k)","High (&gt;8k)"))</f>
        <v>Medium (3k-8k)</v>
      </c>
      <c r="L194" t="str">
        <f t="shared" ref="L194:L257" si="14">IF(H194&lt;=3,"Short (1-3 days)",IF(H194&lt;=7,"Medium (4-7 days)","Long (8+ days)"))</f>
        <v>Short (1-3 days)</v>
      </c>
      <c r="M194" t="str">
        <f t="shared" ref="M194:M257" si="15">IF(I194&gt;=85,"Excellent",IF(I194&gt;=70,"Good","Needs Attention"))</f>
        <v>Good</v>
      </c>
    </row>
    <row r="195" spans="1:13">
      <c r="A195" t="s">
        <v>230</v>
      </c>
      <c r="B195" t="s">
        <v>53</v>
      </c>
      <c r="C195" t="s">
        <v>15</v>
      </c>
      <c r="D195" t="s">
        <v>51</v>
      </c>
      <c r="E195" t="s">
        <v>21</v>
      </c>
      <c r="F195" s="2">
        <v>10</v>
      </c>
      <c r="G195" s="3">
        <v>19124</v>
      </c>
      <c r="H195" s="2">
        <v>10</v>
      </c>
      <c r="I195" s="2">
        <v>86</v>
      </c>
      <c r="J195" t="str">
        <f t="shared" si="12"/>
        <v>Child (0-12)</v>
      </c>
      <c r="K195" t="str">
        <f t="shared" si="13"/>
        <v>High (&gt;8k)</v>
      </c>
      <c r="L195" t="str">
        <f t="shared" si="14"/>
        <v>Long (8+ days)</v>
      </c>
      <c r="M195" t="str">
        <f t="shared" si="15"/>
        <v>Excellent</v>
      </c>
    </row>
    <row r="196" spans="1:13">
      <c r="A196" t="s">
        <v>231</v>
      </c>
      <c r="B196" t="s">
        <v>29</v>
      </c>
      <c r="C196" t="s">
        <v>27</v>
      </c>
      <c r="D196" t="s">
        <v>51</v>
      </c>
      <c r="E196" t="s">
        <v>21</v>
      </c>
      <c r="F196" s="2">
        <v>52</v>
      </c>
      <c r="G196" s="3">
        <v>242</v>
      </c>
      <c r="H196" s="2">
        <v>2</v>
      </c>
      <c r="I196" s="2">
        <v>60</v>
      </c>
      <c r="J196" t="str">
        <f t="shared" si="12"/>
        <v>Adult (36-59)</v>
      </c>
      <c r="K196" t="str">
        <f t="shared" si="13"/>
        <v>Low (&lt;3k)</v>
      </c>
      <c r="L196" t="str">
        <f t="shared" si="14"/>
        <v>Short (1-3 days)</v>
      </c>
      <c r="M196" t="str">
        <f t="shared" si="15"/>
        <v>Needs Attention</v>
      </c>
    </row>
    <row r="197" spans="1:13">
      <c r="A197" t="s">
        <v>232</v>
      </c>
      <c r="B197" t="s">
        <v>53</v>
      </c>
      <c r="C197" t="s">
        <v>27</v>
      </c>
      <c r="D197" t="s">
        <v>33</v>
      </c>
      <c r="E197" t="s">
        <v>21</v>
      </c>
      <c r="F197" s="2">
        <v>14</v>
      </c>
      <c r="G197" s="3">
        <v>698</v>
      </c>
      <c r="H197" s="2">
        <v>2</v>
      </c>
      <c r="I197" s="2">
        <v>87</v>
      </c>
      <c r="J197" t="str">
        <f t="shared" si="12"/>
        <v>Teen (13-19)</v>
      </c>
      <c r="K197" t="str">
        <f t="shared" si="13"/>
        <v>Low (&lt;3k)</v>
      </c>
      <c r="L197" t="str">
        <f t="shared" si="14"/>
        <v>Short (1-3 days)</v>
      </c>
      <c r="M197" t="str">
        <f t="shared" si="15"/>
        <v>Excellent</v>
      </c>
    </row>
    <row r="198" spans="1:13">
      <c r="A198" t="s">
        <v>233</v>
      </c>
      <c r="B198" t="s">
        <v>29</v>
      </c>
      <c r="C198" t="s">
        <v>15</v>
      </c>
      <c r="D198" t="s">
        <v>51</v>
      </c>
      <c r="E198" t="s">
        <v>17</v>
      </c>
      <c r="F198" s="2">
        <v>44</v>
      </c>
      <c r="G198" s="3">
        <v>8630</v>
      </c>
      <c r="H198" s="2">
        <v>10</v>
      </c>
      <c r="I198" s="2">
        <v>99</v>
      </c>
      <c r="J198" t="str">
        <f t="shared" si="12"/>
        <v>Adult (36-59)</v>
      </c>
      <c r="K198" t="str">
        <f t="shared" si="13"/>
        <v>High (&gt;8k)</v>
      </c>
      <c r="L198" t="str">
        <f t="shared" si="14"/>
        <v>Long (8+ days)</v>
      </c>
      <c r="M198" t="str">
        <f t="shared" si="15"/>
        <v>Excellent</v>
      </c>
    </row>
    <row r="199" spans="1:13">
      <c r="A199" t="s">
        <v>234</v>
      </c>
      <c r="B199" t="s">
        <v>26</v>
      </c>
      <c r="C199" t="s">
        <v>15</v>
      </c>
      <c r="D199" t="s">
        <v>24</v>
      </c>
      <c r="E199" t="s">
        <v>17</v>
      </c>
      <c r="F199" s="2">
        <v>68</v>
      </c>
      <c r="G199" s="3">
        <v>13355</v>
      </c>
      <c r="H199" s="2">
        <v>8</v>
      </c>
      <c r="I199" s="2">
        <v>99</v>
      </c>
      <c r="J199" t="str">
        <f t="shared" si="12"/>
        <v>Senior (60+)</v>
      </c>
      <c r="K199" t="str">
        <f t="shared" si="13"/>
        <v>High (&gt;8k)</v>
      </c>
      <c r="L199" t="str">
        <f t="shared" si="14"/>
        <v>Long (8+ days)</v>
      </c>
      <c r="M199" t="str">
        <f t="shared" si="15"/>
        <v>Excellent</v>
      </c>
    </row>
    <row r="200" spans="1:13">
      <c r="A200" t="s">
        <v>235</v>
      </c>
      <c r="B200" t="s">
        <v>48</v>
      </c>
      <c r="C200" t="s">
        <v>30</v>
      </c>
      <c r="D200" t="s">
        <v>46</v>
      </c>
      <c r="E200" t="s">
        <v>21</v>
      </c>
      <c r="F200" s="2">
        <v>19</v>
      </c>
      <c r="G200" s="3">
        <v>3096</v>
      </c>
      <c r="H200" s="2">
        <v>5</v>
      </c>
      <c r="I200" s="2">
        <v>61</v>
      </c>
      <c r="J200" t="str">
        <f t="shared" si="12"/>
        <v>Teen (13-19)</v>
      </c>
      <c r="K200" t="str">
        <f t="shared" si="13"/>
        <v>Medium (3k-8k)</v>
      </c>
      <c r="L200" t="str">
        <f t="shared" si="14"/>
        <v>Medium (4-7 days)</v>
      </c>
      <c r="M200" t="str">
        <f t="shared" si="15"/>
        <v>Needs Attention</v>
      </c>
    </row>
    <row r="201" spans="1:13">
      <c r="A201" t="s">
        <v>236</v>
      </c>
      <c r="B201" t="s">
        <v>23</v>
      </c>
      <c r="C201" t="s">
        <v>44</v>
      </c>
      <c r="D201" t="s">
        <v>35</v>
      </c>
      <c r="E201" t="s">
        <v>21</v>
      </c>
      <c r="F201" s="2">
        <v>81</v>
      </c>
      <c r="G201" s="3">
        <v>4547</v>
      </c>
      <c r="H201" s="2">
        <v>4</v>
      </c>
      <c r="I201" s="2">
        <v>98</v>
      </c>
      <c r="J201" t="str">
        <f t="shared" si="12"/>
        <v>Senior (60+)</v>
      </c>
      <c r="K201" t="str">
        <f t="shared" si="13"/>
        <v>Medium (3k-8k)</v>
      </c>
      <c r="L201" t="str">
        <f t="shared" si="14"/>
        <v>Medium (4-7 days)</v>
      </c>
      <c r="M201" t="str">
        <f t="shared" si="15"/>
        <v>Excellent</v>
      </c>
    </row>
    <row r="202" spans="1:13">
      <c r="A202" t="s">
        <v>237</v>
      </c>
      <c r="B202" t="s">
        <v>23</v>
      </c>
      <c r="C202" t="s">
        <v>27</v>
      </c>
      <c r="D202" t="s">
        <v>20</v>
      </c>
      <c r="E202" t="s">
        <v>17</v>
      </c>
      <c r="F202" s="2">
        <v>80</v>
      </c>
      <c r="G202" s="3">
        <v>861</v>
      </c>
      <c r="H202" s="2">
        <v>3</v>
      </c>
      <c r="I202" s="2">
        <v>70</v>
      </c>
      <c r="J202" t="str">
        <f t="shared" si="12"/>
        <v>Senior (60+)</v>
      </c>
      <c r="K202" t="str">
        <f t="shared" si="13"/>
        <v>Low (&lt;3k)</v>
      </c>
      <c r="L202" t="str">
        <f t="shared" si="14"/>
        <v>Short (1-3 days)</v>
      </c>
      <c r="M202" t="str">
        <f t="shared" si="15"/>
        <v>Good</v>
      </c>
    </row>
    <row r="203" spans="1:13">
      <c r="A203" t="s">
        <v>238</v>
      </c>
      <c r="B203" t="s">
        <v>26</v>
      </c>
      <c r="C203" t="s">
        <v>27</v>
      </c>
      <c r="D203" t="s">
        <v>35</v>
      </c>
      <c r="E203" t="s">
        <v>21</v>
      </c>
      <c r="F203" s="2">
        <v>81</v>
      </c>
      <c r="G203" s="3">
        <v>820</v>
      </c>
      <c r="H203" s="2">
        <v>2</v>
      </c>
      <c r="I203" s="2">
        <v>87</v>
      </c>
      <c r="J203" t="str">
        <f t="shared" si="12"/>
        <v>Senior (60+)</v>
      </c>
      <c r="K203" t="str">
        <f t="shared" si="13"/>
        <v>Low (&lt;3k)</v>
      </c>
      <c r="L203" t="str">
        <f t="shared" si="14"/>
        <v>Short (1-3 days)</v>
      </c>
      <c r="M203" t="str">
        <f t="shared" si="15"/>
        <v>Excellent</v>
      </c>
    </row>
    <row r="204" spans="1:13">
      <c r="A204" t="s">
        <v>239</v>
      </c>
      <c r="B204" t="s">
        <v>19</v>
      </c>
      <c r="C204" t="s">
        <v>30</v>
      </c>
      <c r="D204" t="s">
        <v>24</v>
      </c>
      <c r="E204" t="s">
        <v>21</v>
      </c>
      <c r="F204" s="2">
        <v>60</v>
      </c>
      <c r="G204" s="3">
        <v>4702</v>
      </c>
      <c r="H204" s="2">
        <v>2</v>
      </c>
      <c r="I204" s="2">
        <v>53</v>
      </c>
      <c r="J204" t="str">
        <f t="shared" si="12"/>
        <v>Senior (60+)</v>
      </c>
      <c r="K204" t="str">
        <f t="shared" si="13"/>
        <v>Medium (3k-8k)</v>
      </c>
      <c r="L204" t="str">
        <f t="shared" si="14"/>
        <v>Short (1-3 days)</v>
      </c>
      <c r="M204" t="str">
        <f t="shared" si="15"/>
        <v>Needs Attention</v>
      </c>
    </row>
    <row r="205" spans="1:13">
      <c r="A205" t="s">
        <v>240</v>
      </c>
      <c r="B205" t="s">
        <v>48</v>
      </c>
      <c r="C205" t="s">
        <v>30</v>
      </c>
      <c r="D205" t="s">
        <v>35</v>
      </c>
      <c r="E205" t="s">
        <v>17</v>
      </c>
      <c r="F205" s="2">
        <v>12</v>
      </c>
      <c r="G205" s="3">
        <v>6038</v>
      </c>
      <c r="H205" s="2">
        <v>10</v>
      </c>
      <c r="I205" s="2">
        <v>74</v>
      </c>
      <c r="J205" t="str">
        <f t="shared" si="12"/>
        <v>Child (0-12)</v>
      </c>
      <c r="K205" t="str">
        <f t="shared" si="13"/>
        <v>Medium (3k-8k)</v>
      </c>
      <c r="L205" t="str">
        <f t="shared" si="14"/>
        <v>Long (8+ days)</v>
      </c>
      <c r="M205" t="str">
        <f t="shared" si="15"/>
        <v>Good</v>
      </c>
    </row>
    <row r="206" spans="1:13">
      <c r="A206" t="s">
        <v>241</v>
      </c>
      <c r="B206" t="s">
        <v>29</v>
      </c>
      <c r="C206" t="s">
        <v>15</v>
      </c>
      <c r="D206" t="s">
        <v>38</v>
      </c>
      <c r="E206" t="s">
        <v>17</v>
      </c>
      <c r="F206" s="2">
        <v>74</v>
      </c>
      <c r="G206" s="3">
        <v>15679</v>
      </c>
      <c r="H206" s="2">
        <v>8</v>
      </c>
      <c r="I206" s="2">
        <v>70</v>
      </c>
      <c r="J206" t="str">
        <f t="shared" si="12"/>
        <v>Senior (60+)</v>
      </c>
      <c r="K206" t="str">
        <f t="shared" si="13"/>
        <v>High (&gt;8k)</v>
      </c>
      <c r="L206" t="str">
        <f t="shared" si="14"/>
        <v>Long (8+ days)</v>
      </c>
      <c r="M206" t="str">
        <f t="shared" si="15"/>
        <v>Good</v>
      </c>
    </row>
    <row r="207" spans="1:13">
      <c r="A207" t="s">
        <v>242</v>
      </c>
      <c r="B207" t="s">
        <v>23</v>
      </c>
      <c r="C207" t="s">
        <v>27</v>
      </c>
      <c r="D207" t="s">
        <v>24</v>
      </c>
      <c r="E207" t="s">
        <v>21</v>
      </c>
      <c r="F207" s="2">
        <v>8</v>
      </c>
      <c r="G207" s="3">
        <v>1122</v>
      </c>
      <c r="H207" s="2">
        <v>1</v>
      </c>
      <c r="I207" s="2">
        <v>71</v>
      </c>
      <c r="J207" t="str">
        <f t="shared" si="12"/>
        <v>Child (0-12)</v>
      </c>
      <c r="K207" t="str">
        <f t="shared" si="13"/>
        <v>Low (&lt;3k)</v>
      </c>
      <c r="L207" t="str">
        <f t="shared" si="14"/>
        <v>Short (1-3 days)</v>
      </c>
      <c r="M207" t="str">
        <f t="shared" si="15"/>
        <v>Good</v>
      </c>
    </row>
    <row r="208" spans="1:13">
      <c r="A208" t="s">
        <v>243</v>
      </c>
      <c r="B208" t="s">
        <v>14</v>
      </c>
      <c r="C208" t="s">
        <v>15</v>
      </c>
      <c r="D208" t="s">
        <v>24</v>
      </c>
      <c r="E208" t="s">
        <v>17</v>
      </c>
      <c r="F208" s="2">
        <v>6</v>
      </c>
      <c r="G208" s="3">
        <v>9059</v>
      </c>
      <c r="H208" s="2">
        <v>12</v>
      </c>
      <c r="I208" s="2">
        <v>78</v>
      </c>
      <c r="J208" t="str">
        <f t="shared" si="12"/>
        <v>Child (0-12)</v>
      </c>
      <c r="K208" t="str">
        <f t="shared" si="13"/>
        <v>High (&gt;8k)</v>
      </c>
      <c r="L208" t="str">
        <f t="shared" si="14"/>
        <v>Long (8+ days)</v>
      </c>
      <c r="M208" t="str">
        <f t="shared" si="15"/>
        <v>Good</v>
      </c>
    </row>
    <row r="209" spans="1:13">
      <c r="A209" t="s">
        <v>244</v>
      </c>
      <c r="B209" t="s">
        <v>23</v>
      </c>
      <c r="C209" t="s">
        <v>44</v>
      </c>
      <c r="D209" t="s">
        <v>33</v>
      </c>
      <c r="E209" t="s">
        <v>21</v>
      </c>
      <c r="F209" s="2">
        <v>37</v>
      </c>
      <c r="G209" s="3">
        <v>3673</v>
      </c>
      <c r="H209" s="2">
        <v>4</v>
      </c>
      <c r="I209" s="2">
        <v>99</v>
      </c>
      <c r="J209" t="str">
        <f t="shared" si="12"/>
        <v>Adult (36-59)</v>
      </c>
      <c r="K209" t="str">
        <f t="shared" si="13"/>
        <v>Medium (3k-8k)</v>
      </c>
      <c r="L209" t="str">
        <f t="shared" si="14"/>
        <v>Medium (4-7 days)</v>
      </c>
      <c r="M209" t="str">
        <f t="shared" si="15"/>
        <v>Excellent</v>
      </c>
    </row>
    <row r="210" spans="1:13">
      <c r="A210" t="s">
        <v>245</v>
      </c>
      <c r="B210" t="s">
        <v>48</v>
      </c>
      <c r="C210" t="s">
        <v>15</v>
      </c>
      <c r="D210" t="s">
        <v>33</v>
      </c>
      <c r="E210" t="s">
        <v>21</v>
      </c>
      <c r="F210" s="2">
        <v>13</v>
      </c>
      <c r="G210" s="3">
        <v>14141</v>
      </c>
      <c r="H210" s="2">
        <v>15</v>
      </c>
      <c r="I210" s="2">
        <v>74</v>
      </c>
      <c r="J210" t="str">
        <f t="shared" si="12"/>
        <v>Teen (13-19)</v>
      </c>
      <c r="K210" t="str">
        <f t="shared" si="13"/>
        <v>High (&gt;8k)</v>
      </c>
      <c r="L210" t="str">
        <f t="shared" si="14"/>
        <v>Long (8+ days)</v>
      </c>
      <c r="M210" t="str">
        <f t="shared" si="15"/>
        <v>Good</v>
      </c>
    </row>
    <row r="211" spans="1:13">
      <c r="A211" t="s">
        <v>246</v>
      </c>
      <c r="B211" t="s">
        <v>48</v>
      </c>
      <c r="C211" t="s">
        <v>30</v>
      </c>
      <c r="D211" t="s">
        <v>20</v>
      </c>
      <c r="E211" t="s">
        <v>17</v>
      </c>
      <c r="F211" s="2">
        <v>43</v>
      </c>
      <c r="G211" s="3">
        <v>1667</v>
      </c>
      <c r="H211" s="2">
        <v>4</v>
      </c>
      <c r="I211" s="2">
        <v>72</v>
      </c>
      <c r="J211" t="str">
        <f t="shared" si="12"/>
        <v>Adult (36-59)</v>
      </c>
      <c r="K211" t="str">
        <f t="shared" si="13"/>
        <v>Low (&lt;3k)</v>
      </c>
      <c r="L211" t="str">
        <f t="shared" si="14"/>
        <v>Medium (4-7 days)</v>
      </c>
      <c r="M211" t="str">
        <f t="shared" si="15"/>
        <v>Good</v>
      </c>
    </row>
    <row r="212" spans="1:13">
      <c r="A212" t="s">
        <v>247</v>
      </c>
      <c r="B212" t="s">
        <v>48</v>
      </c>
      <c r="C212" t="s">
        <v>27</v>
      </c>
      <c r="D212" t="s">
        <v>46</v>
      </c>
      <c r="E212" t="s">
        <v>17</v>
      </c>
      <c r="F212" s="2">
        <v>11</v>
      </c>
      <c r="G212" s="3">
        <v>834</v>
      </c>
      <c r="H212" s="2">
        <v>3</v>
      </c>
      <c r="I212" s="2">
        <v>74</v>
      </c>
      <c r="J212" t="str">
        <f t="shared" si="12"/>
        <v>Child (0-12)</v>
      </c>
      <c r="K212" t="str">
        <f t="shared" si="13"/>
        <v>Low (&lt;3k)</v>
      </c>
      <c r="L212" t="str">
        <f t="shared" si="14"/>
        <v>Short (1-3 days)</v>
      </c>
      <c r="M212" t="str">
        <f t="shared" si="15"/>
        <v>Good</v>
      </c>
    </row>
    <row r="213" spans="1:13">
      <c r="A213" t="s">
        <v>248</v>
      </c>
      <c r="B213" t="s">
        <v>14</v>
      </c>
      <c r="C213" t="s">
        <v>30</v>
      </c>
      <c r="D213" t="s">
        <v>46</v>
      </c>
      <c r="E213" t="s">
        <v>17</v>
      </c>
      <c r="F213" s="2">
        <v>88</v>
      </c>
      <c r="G213" s="3">
        <v>5312</v>
      </c>
      <c r="H213" s="2">
        <v>3</v>
      </c>
      <c r="I213" s="2">
        <v>91</v>
      </c>
      <c r="J213" t="str">
        <f t="shared" si="12"/>
        <v>Senior (60+)</v>
      </c>
      <c r="K213" t="str">
        <f t="shared" si="13"/>
        <v>Medium (3k-8k)</v>
      </c>
      <c r="L213" t="str">
        <f t="shared" si="14"/>
        <v>Short (1-3 days)</v>
      </c>
      <c r="M213" t="str">
        <f t="shared" si="15"/>
        <v>Excellent</v>
      </c>
    </row>
    <row r="214" spans="1:13">
      <c r="A214" t="s">
        <v>249</v>
      </c>
      <c r="B214" t="s">
        <v>14</v>
      </c>
      <c r="C214" t="s">
        <v>27</v>
      </c>
      <c r="D214" t="s">
        <v>24</v>
      </c>
      <c r="E214" t="s">
        <v>21</v>
      </c>
      <c r="F214" s="2">
        <v>47</v>
      </c>
      <c r="G214" s="3">
        <v>832</v>
      </c>
      <c r="H214" s="2">
        <v>1</v>
      </c>
      <c r="I214" s="2">
        <v>63</v>
      </c>
      <c r="J214" t="str">
        <f t="shared" si="12"/>
        <v>Adult (36-59)</v>
      </c>
      <c r="K214" t="str">
        <f t="shared" si="13"/>
        <v>Low (&lt;3k)</v>
      </c>
      <c r="L214" t="str">
        <f t="shared" si="14"/>
        <v>Short (1-3 days)</v>
      </c>
      <c r="M214" t="str">
        <f t="shared" si="15"/>
        <v>Needs Attention</v>
      </c>
    </row>
    <row r="215" spans="1:13">
      <c r="A215" t="s">
        <v>250</v>
      </c>
      <c r="B215" t="s">
        <v>48</v>
      </c>
      <c r="C215" t="s">
        <v>27</v>
      </c>
      <c r="D215" t="s">
        <v>64</v>
      </c>
      <c r="E215" t="s">
        <v>21</v>
      </c>
      <c r="F215" s="2">
        <v>18</v>
      </c>
      <c r="G215" s="3">
        <v>517</v>
      </c>
      <c r="H215" s="2">
        <v>1</v>
      </c>
      <c r="I215" s="2">
        <v>68</v>
      </c>
      <c r="J215" t="str">
        <f t="shared" si="12"/>
        <v>Teen (13-19)</v>
      </c>
      <c r="K215" t="str">
        <f t="shared" si="13"/>
        <v>Low (&lt;3k)</v>
      </c>
      <c r="L215" t="str">
        <f t="shared" si="14"/>
        <v>Short (1-3 days)</v>
      </c>
      <c r="M215" t="str">
        <f t="shared" si="15"/>
        <v>Needs Attention</v>
      </c>
    </row>
    <row r="216" spans="1:13">
      <c r="A216" t="s">
        <v>251</v>
      </c>
      <c r="B216" t="s">
        <v>53</v>
      </c>
      <c r="C216" t="s">
        <v>15</v>
      </c>
      <c r="D216" t="s">
        <v>24</v>
      </c>
      <c r="E216" t="s">
        <v>17</v>
      </c>
      <c r="F216" s="2">
        <v>68</v>
      </c>
      <c r="G216" s="3">
        <v>5618</v>
      </c>
      <c r="H216" s="2">
        <v>15</v>
      </c>
      <c r="I216" s="2">
        <v>71</v>
      </c>
      <c r="J216" t="str">
        <f t="shared" si="12"/>
        <v>Senior (60+)</v>
      </c>
      <c r="K216" t="str">
        <f t="shared" si="13"/>
        <v>Medium (3k-8k)</v>
      </c>
      <c r="L216" t="str">
        <f t="shared" si="14"/>
        <v>Long (8+ days)</v>
      </c>
      <c r="M216" t="str">
        <f t="shared" si="15"/>
        <v>Good</v>
      </c>
    </row>
    <row r="217" spans="1:13">
      <c r="A217" t="s">
        <v>252</v>
      </c>
      <c r="B217" t="s">
        <v>53</v>
      </c>
      <c r="C217" t="s">
        <v>44</v>
      </c>
      <c r="D217" t="s">
        <v>20</v>
      </c>
      <c r="E217" t="s">
        <v>21</v>
      </c>
      <c r="F217" s="2">
        <v>21</v>
      </c>
      <c r="G217" s="3">
        <v>1981</v>
      </c>
      <c r="H217" s="2">
        <v>5</v>
      </c>
      <c r="I217" s="2">
        <v>60</v>
      </c>
      <c r="J217" t="str">
        <f t="shared" si="12"/>
        <v>Young Adult (20-35)</v>
      </c>
      <c r="K217" t="str">
        <f t="shared" si="13"/>
        <v>Low (&lt;3k)</v>
      </c>
      <c r="L217" t="str">
        <f t="shared" si="14"/>
        <v>Medium (4-7 days)</v>
      </c>
      <c r="M217" t="str">
        <f t="shared" si="15"/>
        <v>Needs Attention</v>
      </c>
    </row>
    <row r="218" spans="1:13">
      <c r="A218" t="s">
        <v>253</v>
      </c>
      <c r="B218" t="s">
        <v>14</v>
      </c>
      <c r="C218" t="s">
        <v>27</v>
      </c>
      <c r="D218" t="s">
        <v>16</v>
      </c>
      <c r="E218" t="s">
        <v>21</v>
      </c>
      <c r="F218" s="2">
        <v>87</v>
      </c>
      <c r="G218" s="3">
        <v>1673</v>
      </c>
      <c r="H218" s="2">
        <v>1</v>
      </c>
      <c r="I218" s="2">
        <v>78</v>
      </c>
      <c r="J218" t="str">
        <f t="shared" si="12"/>
        <v>Senior (60+)</v>
      </c>
      <c r="K218" t="str">
        <f t="shared" si="13"/>
        <v>Low (&lt;3k)</v>
      </c>
      <c r="L218" t="str">
        <f t="shared" si="14"/>
        <v>Short (1-3 days)</v>
      </c>
      <c r="M218" t="str">
        <f t="shared" si="15"/>
        <v>Good</v>
      </c>
    </row>
    <row r="219" spans="1:13">
      <c r="A219" t="s">
        <v>254</v>
      </c>
      <c r="B219" t="s">
        <v>23</v>
      </c>
      <c r="C219" t="s">
        <v>30</v>
      </c>
      <c r="D219" t="s">
        <v>38</v>
      </c>
      <c r="E219" t="s">
        <v>21</v>
      </c>
      <c r="F219" s="2">
        <v>31</v>
      </c>
      <c r="G219" s="3">
        <v>3535</v>
      </c>
      <c r="H219" s="2">
        <v>9</v>
      </c>
      <c r="I219" s="2">
        <v>62</v>
      </c>
      <c r="J219" t="str">
        <f t="shared" si="12"/>
        <v>Young Adult (20-35)</v>
      </c>
      <c r="K219" t="str">
        <f t="shared" si="13"/>
        <v>Medium (3k-8k)</v>
      </c>
      <c r="L219" t="str">
        <f t="shared" si="14"/>
        <v>Long (8+ days)</v>
      </c>
      <c r="M219" t="str">
        <f t="shared" si="15"/>
        <v>Needs Attention</v>
      </c>
    </row>
    <row r="220" spans="1:13">
      <c r="A220" t="s">
        <v>255</v>
      </c>
      <c r="B220" t="s">
        <v>48</v>
      </c>
      <c r="C220" t="s">
        <v>27</v>
      </c>
      <c r="D220" t="s">
        <v>38</v>
      </c>
      <c r="E220" t="s">
        <v>17</v>
      </c>
      <c r="F220" s="2">
        <v>49</v>
      </c>
      <c r="G220" s="3">
        <v>1229</v>
      </c>
      <c r="H220" s="2">
        <v>3</v>
      </c>
      <c r="I220" s="2">
        <v>76</v>
      </c>
      <c r="J220" t="str">
        <f t="shared" si="12"/>
        <v>Adult (36-59)</v>
      </c>
      <c r="K220" t="str">
        <f t="shared" si="13"/>
        <v>Low (&lt;3k)</v>
      </c>
      <c r="L220" t="str">
        <f t="shared" si="14"/>
        <v>Short (1-3 days)</v>
      </c>
      <c r="M220" t="str">
        <f t="shared" si="15"/>
        <v>Good</v>
      </c>
    </row>
    <row r="221" spans="1:13">
      <c r="A221" t="s">
        <v>256</v>
      </c>
      <c r="B221" t="s">
        <v>26</v>
      </c>
      <c r="C221" t="s">
        <v>44</v>
      </c>
      <c r="D221" t="s">
        <v>20</v>
      </c>
      <c r="E221" t="s">
        <v>21</v>
      </c>
      <c r="F221" s="2">
        <v>33</v>
      </c>
      <c r="G221" s="3">
        <v>927</v>
      </c>
      <c r="H221" s="2">
        <v>4</v>
      </c>
      <c r="I221" s="2">
        <v>73</v>
      </c>
      <c r="J221" t="str">
        <f t="shared" si="12"/>
        <v>Young Adult (20-35)</v>
      </c>
      <c r="K221" t="str">
        <f t="shared" si="13"/>
        <v>Low (&lt;3k)</v>
      </c>
      <c r="L221" t="str">
        <f t="shared" si="14"/>
        <v>Medium (4-7 days)</v>
      </c>
      <c r="M221" t="str">
        <f t="shared" si="15"/>
        <v>Good</v>
      </c>
    </row>
    <row r="222" spans="1:13">
      <c r="A222" t="s">
        <v>257</v>
      </c>
      <c r="B222" t="s">
        <v>23</v>
      </c>
      <c r="C222" t="s">
        <v>15</v>
      </c>
      <c r="D222" t="s">
        <v>24</v>
      </c>
      <c r="E222" t="s">
        <v>17</v>
      </c>
      <c r="F222" s="2">
        <v>37</v>
      </c>
      <c r="G222" s="3">
        <v>6374</v>
      </c>
      <c r="H222" s="2">
        <v>7</v>
      </c>
      <c r="I222" s="2">
        <v>67</v>
      </c>
      <c r="J222" t="str">
        <f t="shared" si="12"/>
        <v>Adult (36-59)</v>
      </c>
      <c r="K222" t="str">
        <f t="shared" si="13"/>
        <v>Medium (3k-8k)</v>
      </c>
      <c r="L222" t="str">
        <f t="shared" si="14"/>
        <v>Medium (4-7 days)</v>
      </c>
      <c r="M222" t="str">
        <f t="shared" si="15"/>
        <v>Needs Attention</v>
      </c>
    </row>
    <row r="223" spans="1:13">
      <c r="A223" t="s">
        <v>258</v>
      </c>
      <c r="B223" t="s">
        <v>29</v>
      </c>
      <c r="C223" t="s">
        <v>44</v>
      </c>
      <c r="D223" t="s">
        <v>51</v>
      </c>
      <c r="E223" t="s">
        <v>21</v>
      </c>
      <c r="F223" s="2">
        <v>29</v>
      </c>
      <c r="G223" s="3">
        <v>4195</v>
      </c>
      <c r="H223" s="2">
        <v>3</v>
      </c>
      <c r="I223" s="2">
        <v>51</v>
      </c>
      <c r="J223" t="str">
        <f t="shared" si="12"/>
        <v>Young Adult (20-35)</v>
      </c>
      <c r="K223" t="str">
        <f t="shared" si="13"/>
        <v>Medium (3k-8k)</v>
      </c>
      <c r="L223" t="str">
        <f t="shared" si="14"/>
        <v>Short (1-3 days)</v>
      </c>
      <c r="M223" t="str">
        <f t="shared" si="15"/>
        <v>Needs Attention</v>
      </c>
    </row>
    <row r="224" spans="1:13">
      <c r="A224" t="s">
        <v>259</v>
      </c>
      <c r="B224" t="s">
        <v>29</v>
      </c>
      <c r="C224" t="s">
        <v>15</v>
      </c>
      <c r="D224" t="s">
        <v>51</v>
      </c>
      <c r="E224" t="s">
        <v>17</v>
      </c>
      <c r="F224" s="2">
        <v>31</v>
      </c>
      <c r="G224" s="3">
        <v>11326</v>
      </c>
      <c r="H224" s="2">
        <v>6</v>
      </c>
      <c r="I224" s="2">
        <v>73</v>
      </c>
      <c r="J224" t="str">
        <f t="shared" si="12"/>
        <v>Young Adult (20-35)</v>
      </c>
      <c r="K224" t="str">
        <f t="shared" si="13"/>
        <v>High (&gt;8k)</v>
      </c>
      <c r="L224" t="str">
        <f t="shared" si="14"/>
        <v>Medium (4-7 days)</v>
      </c>
      <c r="M224" t="str">
        <f t="shared" si="15"/>
        <v>Good</v>
      </c>
    </row>
    <row r="225" spans="1:13">
      <c r="A225" t="s">
        <v>260</v>
      </c>
      <c r="B225" t="s">
        <v>26</v>
      </c>
      <c r="C225" t="s">
        <v>15</v>
      </c>
      <c r="D225" t="s">
        <v>33</v>
      </c>
      <c r="E225" t="s">
        <v>17</v>
      </c>
      <c r="F225" s="2">
        <v>84</v>
      </c>
      <c r="G225" s="3">
        <v>10493</v>
      </c>
      <c r="H225" s="2">
        <v>7</v>
      </c>
      <c r="I225" s="2">
        <v>58</v>
      </c>
      <c r="J225" t="str">
        <f t="shared" si="12"/>
        <v>Senior (60+)</v>
      </c>
      <c r="K225" t="str">
        <f t="shared" si="13"/>
        <v>High (&gt;8k)</v>
      </c>
      <c r="L225" t="str">
        <f t="shared" si="14"/>
        <v>Medium (4-7 days)</v>
      </c>
      <c r="M225" t="str">
        <f t="shared" si="15"/>
        <v>Needs Attention</v>
      </c>
    </row>
    <row r="226" spans="1:13">
      <c r="A226" t="s">
        <v>261</v>
      </c>
      <c r="B226" t="s">
        <v>19</v>
      </c>
      <c r="C226" t="s">
        <v>30</v>
      </c>
      <c r="D226" t="s">
        <v>38</v>
      </c>
      <c r="E226" t="s">
        <v>17</v>
      </c>
      <c r="F226" s="2">
        <v>18</v>
      </c>
      <c r="G226" s="3">
        <v>6779</v>
      </c>
      <c r="H226" s="2">
        <v>9</v>
      </c>
      <c r="I226" s="2">
        <v>78</v>
      </c>
      <c r="J226" t="str">
        <f t="shared" si="12"/>
        <v>Teen (13-19)</v>
      </c>
      <c r="K226" t="str">
        <f t="shared" si="13"/>
        <v>Medium (3k-8k)</v>
      </c>
      <c r="L226" t="str">
        <f t="shared" si="14"/>
        <v>Long (8+ days)</v>
      </c>
      <c r="M226" t="str">
        <f t="shared" si="15"/>
        <v>Good</v>
      </c>
    </row>
    <row r="227" spans="1:13">
      <c r="A227" t="s">
        <v>262</v>
      </c>
      <c r="B227" t="s">
        <v>23</v>
      </c>
      <c r="C227" t="s">
        <v>15</v>
      </c>
      <c r="D227" t="s">
        <v>35</v>
      </c>
      <c r="E227" t="s">
        <v>21</v>
      </c>
      <c r="F227" s="2">
        <v>28</v>
      </c>
      <c r="G227" s="3">
        <v>18680</v>
      </c>
      <c r="H227" s="2">
        <v>7</v>
      </c>
      <c r="I227" s="2">
        <v>85</v>
      </c>
      <c r="J227" t="str">
        <f t="shared" si="12"/>
        <v>Young Adult (20-35)</v>
      </c>
      <c r="K227" t="str">
        <f t="shared" si="13"/>
        <v>High (&gt;8k)</v>
      </c>
      <c r="L227" t="str">
        <f t="shared" si="14"/>
        <v>Medium (4-7 days)</v>
      </c>
      <c r="M227" t="str">
        <f t="shared" si="15"/>
        <v>Excellent</v>
      </c>
    </row>
    <row r="228" spans="1:13">
      <c r="A228" t="s">
        <v>263</v>
      </c>
      <c r="B228" t="s">
        <v>14</v>
      </c>
      <c r="C228" t="s">
        <v>27</v>
      </c>
      <c r="D228" t="s">
        <v>35</v>
      </c>
      <c r="E228" t="s">
        <v>17</v>
      </c>
      <c r="F228" s="2">
        <v>31</v>
      </c>
      <c r="G228" s="3">
        <v>816</v>
      </c>
      <c r="H228" s="2">
        <v>1</v>
      </c>
      <c r="I228" s="2">
        <v>53</v>
      </c>
      <c r="J228" t="str">
        <f t="shared" si="12"/>
        <v>Young Adult (20-35)</v>
      </c>
      <c r="K228" t="str">
        <f t="shared" si="13"/>
        <v>Low (&lt;3k)</v>
      </c>
      <c r="L228" t="str">
        <f t="shared" si="14"/>
        <v>Short (1-3 days)</v>
      </c>
      <c r="M228" t="str">
        <f t="shared" si="15"/>
        <v>Needs Attention</v>
      </c>
    </row>
    <row r="229" spans="1:13">
      <c r="A229" t="s">
        <v>264</v>
      </c>
      <c r="B229" t="s">
        <v>26</v>
      </c>
      <c r="C229" t="s">
        <v>27</v>
      </c>
      <c r="D229" t="s">
        <v>20</v>
      </c>
      <c r="E229" t="s">
        <v>21</v>
      </c>
      <c r="F229" s="2">
        <v>15</v>
      </c>
      <c r="G229" s="3">
        <v>1913</v>
      </c>
      <c r="H229" s="2">
        <v>2</v>
      </c>
      <c r="I229" s="2">
        <v>88</v>
      </c>
      <c r="J229" t="str">
        <f t="shared" si="12"/>
        <v>Teen (13-19)</v>
      </c>
      <c r="K229" t="str">
        <f t="shared" si="13"/>
        <v>Low (&lt;3k)</v>
      </c>
      <c r="L229" t="str">
        <f t="shared" si="14"/>
        <v>Short (1-3 days)</v>
      </c>
      <c r="M229" t="str">
        <f t="shared" si="15"/>
        <v>Excellent</v>
      </c>
    </row>
    <row r="230" spans="1:13">
      <c r="A230" t="s">
        <v>265</v>
      </c>
      <c r="B230" t="s">
        <v>23</v>
      </c>
      <c r="C230" t="s">
        <v>15</v>
      </c>
      <c r="D230" t="s">
        <v>24</v>
      </c>
      <c r="E230" t="s">
        <v>17</v>
      </c>
      <c r="F230" s="2">
        <v>19</v>
      </c>
      <c r="G230" s="3">
        <v>9772</v>
      </c>
      <c r="H230" s="2">
        <v>11</v>
      </c>
      <c r="I230" s="2">
        <v>50</v>
      </c>
      <c r="J230" t="str">
        <f t="shared" si="12"/>
        <v>Teen (13-19)</v>
      </c>
      <c r="K230" t="str">
        <f t="shared" si="13"/>
        <v>High (&gt;8k)</v>
      </c>
      <c r="L230" t="str">
        <f t="shared" si="14"/>
        <v>Long (8+ days)</v>
      </c>
      <c r="M230" t="str">
        <f t="shared" si="15"/>
        <v>Needs Attention</v>
      </c>
    </row>
    <row r="231" spans="1:13">
      <c r="A231" t="s">
        <v>266</v>
      </c>
      <c r="B231" t="s">
        <v>23</v>
      </c>
      <c r="C231" t="s">
        <v>30</v>
      </c>
      <c r="D231" t="s">
        <v>64</v>
      </c>
      <c r="E231" t="s">
        <v>17</v>
      </c>
      <c r="F231" s="2">
        <v>24</v>
      </c>
      <c r="G231" s="3">
        <v>6442</v>
      </c>
      <c r="H231" s="2">
        <v>3</v>
      </c>
      <c r="I231" s="2">
        <v>83</v>
      </c>
      <c r="J231" t="str">
        <f t="shared" si="12"/>
        <v>Young Adult (20-35)</v>
      </c>
      <c r="K231" t="str">
        <f t="shared" si="13"/>
        <v>Medium (3k-8k)</v>
      </c>
      <c r="L231" t="str">
        <f t="shared" si="14"/>
        <v>Short (1-3 days)</v>
      </c>
      <c r="M231" t="str">
        <f t="shared" si="15"/>
        <v>Good</v>
      </c>
    </row>
    <row r="232" spans="1:13">
      <c r="A232" t="s">
        <v>267</v>
      </c>
      <c r="B232" t="s">
        <v>48</v>
      </c>
      <c r="C232" t="s">
        <v>15</v>
      </c>
      <c r="D232" t="s">
        <v>24</v>
      </c>
      <c r="E232" t="s">
        <v>17</v>
      </c>
      <c r="F232" s="2">
        <v>65</v>
      </c>
      <c r="G232" s="3">
        <v>14079</v>
      </c>
      <c r="H232" s="2">
        <v>5</v>
      </c>
      <c r="I232" s="2">
        <v>74</v>
      </c>
      <c r="J232" t="str">
        <f t="shared" si="12"/>
        <v>Senior (60+)</v>
      </c>
      <c r="K232" t="str">
        <f t="shared" si="13"/>
        <v>High (&gt;8k)</v>
      </c>
      <c r="L232" t="str">
        <f t="shared" si="14"/>
        <v>Medium (4-7 days)</v>
      </c>
      <c r="M232" t="str">
        <f t="shared" si="15"/>
        <v>Good</v>
      </c>
    </row>
    <row r="233" spans="1:13">
      <c r="A233" t="s">
        <v>268</v>
      </c>
      <c r="B233" t="s">
        <v>53</v>
      </c>
      <c r="C233" t="s">
        <v>27</v>
      </c>
      <c r="D233" t="s">
        <v>16</v>
      </c>
      <c r="E233" t="s">
        <v>17</v>
      </c>
      <c r="F233" s="2">
        <v>48</v>
      </c>
      <c r="G233" s="3">
        <v>719</v>
      </c>
      <c r="H233" s="2">
        <v>3</v>
      </c>
      <c r="I233" s="2">
        <v>51</v>
      </c>
      <c r="J233" t="str">
        <f t="shared" si="12"/>
        <v>Adult (36-59)</v>
      </c>
      <c r="K233" t="str">
        <f t="shared" si="13"/>
        <v>Low (&lt;3k)</v>
      </c>
      <c r="L233" t="str">
        <f t="shared" si="14"/>
        <v>Short (1-3 days)</v>
      </c>
      <c r="M233" t="str">
        <f t="shared" si="15"/>
        <v>Needs Attention</v>
      </c>
    </row>
    <row r="234" spans="1:13">
      <c r="A234" t="s">
        <v>269</v>
      </c>
      <c r="B234" t="s">
        <v>48</v>
      </c>
      <c r="C234" t="s">
        <v>15</v>
      </c>
      <c r="D234" t="s">
        <v>33</v>
      </c>
      <c r="E234" t="s">
        <v>21</v>
      </c>
      <c r="F234" s="2">
        <v>85</v>
      </c>
      <c r="G234" s="3">
        <v>15293</v>
      </c>
      <c r="H234" s="2">
        <v>6</v>
      </c>
      <c r="I234" s="2">
        <v>99</v>
      </c>
      <c r="J234" t="str">
        <f t="shared" si="12"/>
        <v>Senior (60+)</v>
      </c>
      <c r="K234" t="str">
        <f t="shared" si="13"/>
        <v>High (&gt;8k)</v>
      </c>
      <c r="L234" t="str">
        <f t="shared" si="14"/>
        <v>Medium (4-7 days)</v>
      </c>
      <c r="M234" t="str">
        <f t="shared" si="15"/>
        <v>Excellent</v>
      </c>
    </row>
    <row r="235" spans="1:13">
      <c r="A235" t="s">
        <v>270</v>
      </c>
      <c r="B235" t="s">
        <v>23</v>
      </c>
      <c r="C235" t="s">
        <v>30</v>
      </c>
      <c r="D235" t="s">
        <v>46</v>
      </c>
      <c r="E235" t="s">
        <v>21</v>
      </c>
      <c r="F235" s="2">
        <v>70</v>
      </c>
      <c r="G235" s="3">
        <v>3773</v>
      </c>
      <c r="H235" s="2">
        <v>4</v>
      </c>
      <c r="I235" s="2">
        <v>99</v>
      </c>
      <c r="J235" t="str">
        <f t="shared" si="12"/>
        <v>Senior (60+)</v>
      </c>
      <c r="K235" t="str">
        <f t="shared" si="13"/>
        <v>Medium (3k-8k)</v>
      </c>
      <c r="L235" t="str">
        <f t="shared" si="14"/>
        <v>Medium (4-7 days)</v>
      </c>
      <c r="M235" t="str">
        <f t="shared" si="15"/>
        <v>Excellent</v>
      </c>
    </row>
    <row r="236" spans="1:13">
      <c r="A236" t="s">
        <v>271</v>
      </c>
      <c r="B236" t="s">
        <v>14</v>
      </c>
      <c r="C236" t="s">
        <v>27</v>
      </c>
      <c r="D236" t="s">
        <v>38</v>
      </c>
      <c r="E236" t="s">
        <v>17</v>
      </c>
      <c r="F236" s="2">
        <v>18</v>
      </c>
      <c r="G236" s="3">
        <v>329</v>
      </c>
      <c r="H236" s="2">
        <v>3</v>
      </c>
      <c r="I236" s="2">
        <v>99</v>
      </c>
      <c r="J236" t="str">
        <f t="shared" si="12"/>
        <v>Teen (13-19)</v>
      </c>
      <c r="K236" t="str">
        <f t="shared" si="13"/>
        <v>Low (&lt;3k)</v>
      </c>
      <c r="L236" t="str">
        <f t="shared" si="14"/>
        <v>Short (1-3 days)</v>
      </c>
      <c r="M236" t="str">
        <f t="shared" si="15"/>
        <v>Excellent</v>
      </c>
    </row>
    <row r="237" spans="1:13">
      <c r="A237" t="s">
        <v>272</v>
      </c>
      <c r="B237" t="s">
        <v>29</v>
      </c>
      <c r="C237" t="s">
        <v>15</v>
      </c>
      <c r="D237" t="s">
        <v>31</v>
      </c>
      <c r="E237" t="s">
        <v>21</v>
      </c>
      <c r="F237" s="2">
        <v>26</v>
      </c>
      <c r="G237" s="3">
        <v>19512</v>
      </c>
      <c r="H237" s="2">
        <v>5</v>
      </c>
      <c r="I237" s="2">
        <v>70</v>
      </c>
      <c r="J237" t="str">
        <f t="shared" si="12"/>
        <v>Young Adult (20-35)</v>
      </c>
      <c r="K237" t="str">
        <f t="shared" si="13"/>
        <v>High (&gt;8k)</v>
      </c>
      <c r="L237" t="str">
        <f t="shared" si="14"/>
        <v>Medium (4-7 days)</v>
      </c>
      <c r="M237" t="str">
        <f t="shared" si="15"/>
        <v>Good</v>
      </c>
    </row>
    <row r="238" spans="1:13">
      <c r="A238" t="s">
        <v>273</v>
      </c>
      <c r="B238" t="s">
        <v>48</v>
      </c>
      <c r="C238" t="s">
        <v>27</v>
      </c>
      <c r="D238" t="s">
        <v>24</v>
      </c>
      <c r="E238" t="s">
        <v>21</v>
      </c>
      <c r="F238" s="2">
        <v>5</v>
      </c>
      <c r="G238" s="3">
        <v>1742</v>
      </c>
      <c r="H238" s="2">
        <v>3</v>
      </c>
      <c r="I238" s="2">
        <v>62</v>
      </c>
      <c r="J238" t="str">
        <f t="shared" si="12"/>
        <v>Child (0-12)</v>
      </c>
      <c r="K238" t="str">
        <f t="shared" si="13"/>
        <v>Low (&lt;3k)</v>
      </c>
      <c r="L238" t="str">
        <f t="shared" si="14"/>
        <v>Short (1-3 days)</v>
      </c>
      <c r="M238" t="str">
        <f t="shared" si="15"/>
        <v>Needs Attention</v>
      </c>
    </row>
    <row r="239" spans="1:13">
      <c r="A239" t="s">
        <v>274</v>
      </c>
      <c r="B239" t="s">
        <v>48</v>
      </c>
      <c r="C239" t="s">
        <v>30</v>
      </c>
      <c r="D239" t="s">
        <v>16</v>
      </c>
      <c r="E239" t="s">
        <v>17</v>
      </c>
      <c r="F239" s="2">
        <v>43</v>
      </c>
      <c r="G239" s="3">
        <v>3238</v>
      </c>
      <c r="H239" s="2">
        <v>3</v>
      </c>
      <c r="I239" s="2">
        <v>73</v>
      </c>
      <c r="J239" t="str">
        <f t="shared" si="12"/>
        <v>Adult (36-59)</v>
      </c>
      <c r="K239" t="str">
        <f t="shared" si="13"/>
        <v>Medium (3k-8k)</v>
      </c>
      <c r="L239" t="str">
        <f t="shared" si="14"/>
        <v>Short (1-3 days)</v>
      </c>
      <c r="M239" t="str">
        <f t="shared" si="15"/>
        <v>Good</v>
      </c>
    </row>
    <row r="240" spans="1:13">
      <c r="A240" t="s">
        <v>275</v>
      </c>
      <c r="B240" t="s">
        <v>29</v>
      </c>
      <c r="C240" t="s">
        <v>27</v>
      </c>
      <c r="D240" t="s">
        <v>38</v>
      </c>
      <c r="E240" t="s">
        <v>17</v>
      </c>
      <c r="F240" s="2">
        <v>50</v>
      </c>
      <c r="G240" s="3">
        <v>894</v>
      </c>
      <c r="H240" s="2">
        <v>1</v>
      </c>
      <c r="I240" s="2">
        <v>81</v>
      </c>
      <c r="J240" t="str">
        <f t="shared" si="12"/>
        <v>Adult (36-59)</v>
      </c>
      <c r="K240" t="str">
        <f t="shared" si="13"/>
        <v>Low (&lt;3k)</v>
      </c>
      <c r="L240" t="str">
        <f t="shared" si="14"/>
        <v>Short (1-3 days)</v>
      </c>
      <c r="M240" t="str">
        <f t="shared" si="15"/>
        <v>Good</v>
      </c>
    </row>
    <row r="241" spans="1:13">
      <c r="A241" t="s">
        <v>276</v>
      </c>
      <c r="B241" t="s">
        <v>14</v>
      </c>
      <c r="C241" t="s">
        <v>27</v>
      </c>
      <c r="D241" t="s">
        <v>33</v>
      </c>
      <c r="E241" t="s">
        <v>17</v>
      </c>
      <c r="F241" s="2">
        <v>67</v>
      </c>
      <c r="G241" s="3">
        <v>746</v>
      </c>
      <c r="H241" s="2">
        <v>1</v>
      </c>
      <c r="I241" s="2">
        <v>96</v>
      </c>
      <c r="J241" t="str">
        <f t="shared" si="12"/>
        <v>Senior (60+)</v>
      </c>
      <c r="K241" t="str">
        <f t="shared" si="13"/>
        <v>Low (&lt;3k)</v>
      </c>
      <c r="L241" t="str">
        <f t="shared" si="14"/>
        <v>Short (1-3 days)</v>
      </c>
      <c r="M241" t="str">
        <f t="shared" si="15"/>
        <v>Excellent</v>
      </c>
    </row>
    <row r="242" spans="1:13">
      <c r="A242" t="s">
        <v>277</v>
      </c>
      <c r="B242" t="s">
        <v>29</v>
      </c>
      <c r="C242" t="s">
        <v>15</v>
      </c>
      <c r="D242" t="s">
        <v>51</v>
      </c>
      <c r="E242" t="s">
        <v>17</v>
      </c>
      <c r="F242" s="2">
        <v>24</v>
      </c>
      <c r="G242" s="3">
        <v>13937</v>
      </c>
      <c r="H242" s="2">
        <v>9</v>
      </c>
      <c r="I242" s="2">
        <v>70</v>
      </c>
      <c r="J242" t="str">
        <f t="shared" si="12"/>
        <v>Young Adult (20-35)</v>
      </c>
      <c r="K242" t="str">
        <f t="shared" si="13"/>
        <v>High (&gt;8k)</v>
      </c>
      <c r="L242" t="str">
        <f t="shared" si="14"/>
        <v>Long (8+ days)</v>
      </c>
      <c r="M242" t="str">
        <f t="shared" si="15"/>
        <v>Good</v>
      </c>
    </row>
    <row r="243" spans="1:13">
      <c r="A243" t="s">
        <v>278</v>
      </c>
      <c r="B243" t="s">
        <v>19</v>
      </c>
      <c r="C243" t="s">
        <v>15</v>
      </c>
      <c r="D243" t="s">
        <v>33</v>
      </c>
      <c r="E243" t="s">
        <v>17</v>
      </c>
      <c r="F243" s="2">
        <v>40</v>
      </c>
      <c r="G243" s="3">
        <v>12305</v>
      </c>
      <c r="H243" s="2">
        <v>14</v>
      </c>
      <c r="I243" s="2">
        <v>95</v>
      </c>
      <c r="J243" t="str">
        <f t="shared" si="12"/>
        <v>Adult (36-59)</v>
      </c>
      <c r="K243" t="str">
        <f t="shared" si="13"/>
        <v>High (&gt;8k)</v>
      </c>
      <c r="L243" t="str">
        <f t="shared" si="14"/>
        <v>Long (8+ days)</v>
      </c>
      <c r="M243" t="str">
        <f t="shared" si="15"/>
        <v>Excellent</v>
      </c>
    </row>
    <row r="244" spans="1:13">
      <c r="A244" t="s">
        <v>279</v>
      </c>
      <c r="B244" t="s">
        <v>29</v>
      </c>
      <c r="C244" t="s">
        <v>44</v>
      </c>
      <c r="D244" t="s">
        <v>38</v>
      </c>
      <c r="E244" t="s">
        <v>21</v>
      </c>
      <c r="F244" s="2">
        <v>6</v>
      </c>
      <c r="G244" s="3">
        <v>3388</v>
      </c>
      <c r="H244" s="2">
        <v>5</v>
      </c>
      <c r="I244" s="2">
        <v>77</v>
      </c>
      <c r="J244" t="str">
        <f t="shared" si="12"/>
        <v>Child (0-12)</v>
      </c>
      <c r="K244" t="str">
        <f t="shared" si="13"/>
        <v>Medium (3k-8k)</v>
      </c>
      <c r="L244" t="str">
        <f t="shared" si="14"/>
        <v>Medium (4-7 days)</v>
      </c>
      <c r="M244" t="str">
        <f t="shared" si="15"/>
        <v>Good</v>
      </c>
    </row>
    <row r="245" spans="1:13">
      <c r="A245" t="s">
        <v>280</v>
      </c>
      <c r="B245" t="s">
        <v>48</v>
      </c>
      <c r="C245" t="s">
        <v>15</v>
      </c>
      <c r="D245" t="s">
        <v>35</v>
      </c>
      <c r="E245" t="s">
        <v>17</v>
      </c>
      <c r="F245" s="2">
        <v>52</v>
      </c>
      <c r="G245" s="3">
        <v>10952</v>
      </c>
      <c r="H245" s="2">
        <v>13</v>
      </c>
      <c r="I245" s="2">
        <v>97</v>
      </c>
      <c r="J245" t="str">
        <f t="shared" si="12"/>
        <v>Adult (36-59)</v>
      </c>
      <c r="K245" t="str">
        <f t="shared" si="13"/>
        <v>High (&gt;8k)</v>
      </c>
      <c r="L245" t="str">
        <f t="shared" si="14"/>
        <v>Long (8+ days)</v>
      </c>
      <c r="M245" t="str">
        <f t="shared" si="15"/>
        <v>Excellent</v>
      </c>
    </row>
    <row r="246" spans="1:13">
      <c r="A246" t="s">
        <v>281</v>
      </c>
      <c r="B246" t="s">
        <v>14</v>
      </c>
      <c r="C246" t="s">
        <v>44</v>
      </c>
      <c r="D246" t="s">
        <v>16</v>
      </c>
      <c r="E246" t="s">
        <v>21</v>
      </c>
      <c r="F246" s="2">
        <v>78</v>
      </c>
      <c r="G246" s="3">
        <v>4089</v>
      </c>
      <c r="H246" s="2">
        <v>1</v>
      </c>
      <c r="I246" s="2">
        <v>58</v>
      </c>
      <c r="J246" t="str">
        <f t="shared" si="12"/>
        <v>Senior (60+)</v>
      </c>
      <c r="K246" t="str">
        <f t="shared" si="13"/>
        <v>Medium (3k-8k)</v>
      </c>
      <c r="L246" t="str">
        <f t="shared" si="14"/>
        <v>Short (1-3 days)</v>
      </c>
      <c r="M246" t="str">
        <f t="shared" si="15"/>
        <v>Needs Attention</v>
      </c>
    </row>
    <row r="247" spans="1:13">
      <c r="A247" t="s">
        <v>282</v>
      </c>
      <c r="B247" t="s">
        <v>19</v>
      </c>
      <c r="C247" t="s">
        <v>44</v>
      </c>
      <c r="D247" t="s">
        <v>33</v>
      </c>
      <c r="E247" t="s">
        <v>21</v>
      </c>
      <c r="F247" s="2">
        <v>73</v>
      </c>
      <c r="G247" s="3">
        <v>765</v>
      </c>
      <c r="H247" s="2">
        <v>5</v>
      </c>
      <c r="I247" s="2">
        <v>59</v>
      </c>
      <c r="J247" t="str">
        <f t="shared" si="12"/>
        <v>Senior (60+)</v>
      </c>
      <c r="K247" t="str">
        <f t="shared" si="13"/>
        <v>Low (&lt;3k)</v>
      </c>
      <c r="L247" t="str">
        <f t="shared" si="14"/>
        <v>Medium (4-7 days)</v>
      </c>
      <c r="M247" t="str">
        <f t="shared" si="15"/>
        <v>Needs Attention</v>
      </c>
    </row>
    <row r="248" spans="1:13">
      <c r="A248" t="s">
        <v>283</v>
      </c>
      <c r="B248" t="s">
        <v>14</v>
      </c>
      <c r="C248" t="s">
        <v>27</v>
      </c>
      <c r="D248" t="s">
        <v>33</v>
      </c>
      <c r="E248" t="s">
        <v>21</v>
      </c>
      <c r="F248" s="2">
        <v>10</v>
      </c>
      <c r="G248" s="3">
        <v>1375</v>
      </c>
      <c r="H248" s="2">
        <v>1</v>
      </c>
      <c r="I248" s="2">
        <v>83</v>
      </c>
      <c r="J248" t="str">
        <f t="shared" si="12"/>
        <v>Child (0-12)</v>
      </c>
      <c r="K248" t="str">
        <f t="shared" si="13"/>
        <v>Low (&lt;3k)</v>
      </c>
      <c r="L248" t="str">
        <f t="shared" si="14"/>
        <v>Short (1-3 days)</v>
      </c>
      <c r="M248" t="str">
        <f t="shared" si="15"/>
        <v>Good</v>
      </c>
    </row>
    <row r="249" spans="1:13">
      <c r="A249" t="s">
        <v>284</v>
      </c>
      <c r="B249" t="s">
        <v>48</v>
      </c>
      <c r="C249" t="s">
        <v>27</v>
      </c>
      <c r="D249" t="s">
        <v>33</v>
      </c>
      <c r="E249" t="s">
        <v>17</v>
      </c>
      <c r="F249" s="2">
        <v>32</v>
      </c>
      <c r="G249" s="3">
        <v>432</v>
      </c>
      <c r="H249" s="2">
        <v>1</v>
      </c>
      <c r="I249" s="2">
        <v>97</v>
      </c>
      <c r="J249" t="str">
        <f t="shared" si="12"/>
        <v>Young Adult (20-35)</v>
      </c>
      <c r="K249" t="str">
        <f t="shared" si="13"/>
        <v>Low (&lt;3k)</v>
      </c>
      <c r="L249" t="str">
        <f t="shared" si="14"/>
        <v>Short (1-3 days)</v>
      </c>
      <c r="M249" t="str">
        <f t="shared" si="15"/>
        <v>Excellent</v>
      </c>
    </row>
    <row r="250" spans="1:13">
      <c r="A250" t="s">
        <v>285</v>
      </c>
      <c r="B250" t="s">
        <v>26</v>
      </c>
      <c r="C250" t="s">
        <v>27</v>
      </c>
      <c r="D250" t="s">
        <v>24</v>
      </c>
      <c r="E250" t="s">
        <v>21</v>
      </c>
      <c r="F250" s="2">
        <v>72</v>
      </c>
      <c r="G250" s="3">
        <v>441</v>
      </c>
      <c r="H250" s="2">
        <v>2</v>
      </c>
      <c r="I250" s="2">
        <v>99</v>
      </c>
      <c r="J250" t="str">
        <f t="shared" si="12"/>
        <v>Senior (60+)</v>
      </c>
      <c r="K250" t="str">
        <f t="shared" si="13"/>
        <v>Low (&lt;3k)</v>
      </c>
      <c r="L250" t="str">
        <f t="shared" si="14"/>
        <v>Short (1-3 days)</v>
      </c>
      <c r="M250" t="str">
        <f t="shared" si="15"/>
        <v>Excellent</v>
      </c>
    </row>
    <row r="251" spans="1:13">
      <c r="A251" t="s">
        <v>286</v>
      </c>
      <c r="B251" t="s">
        <v>48</v>
      </c>
      <c r="C251" t="s">
        <v>27</v>
      </c>
      <c r="D251" t="s">
        <v>64</v>
      </c>
      <c r="E251" t="s">
        <v>41</v>
      </c>
      <c r="F251" s="2">
        <v>37</v>
      </c>
      <c r="G251" s="3">
        <v>1621</v>
      </c>
      <c r="H251" s="2">
        <v>2</v>
      </c>
      <c r="I251" s="2">
        <v>62</v>
      </c>
      <c r="J251" t="str">
        <f t="shared" si="12"/>
        <v>Adult (36-59)</v>
      </c>
      <c r="K251" t="str">
        <f t="shared" si="13"/>
        <v>Low (&lt;3k)</v>
      </c>
      <c r="L251" t="str">
        <f t="shared" si="14"/>
        <v>Short (1-3 days)</v>
      </c>
      <c r="M251" t="str">
        <f t="shared" si="15"/>
        <v>Needs Attention</v>
      </c>
    </row>
    <row r="252" spans="1:13">
      <c r="A252" t="s">
        <v>287</v>
      </c>
      <c r="B252" t="s">
        <v>19</v>
      </c>
      <c r="C252" t="s">
        <v>44</v>
      </c>
      <c r="D252" t="s">
        <v>35</v>
      </c>
      <c r="E252" t="s">
        <v>21</v>
      </c>
      <c r="F252" s="2">
        <v>57</v>
      </c>
      <c r="G252" s="3">
        <v>1219</v>
      </c>
      <c r="H252" s="2">
        <v>3</v>
      </c>
      <c r="I252" s="2">
        <v>92</v>
      </c>
      <c r="J252" t="str">
        <f t="shared" si="12"/>
        <v>Adult (36-59)</v>
      </c>
      <c r="K252" t="str">
        <f t="shared" si="13"/>
        <v>Low (&lt;3k)</v>
      </c>
      <c r="L252" t="str">
        <f t="shared" si="14"/>
        <v>Short (1-3 days)</v>
      </c>
      <c r="M252" t="str">
        <f t="shared" si="15"/>
        <v>Excellent</v>
      </c>
    </row>
    <row r="253" spans="1:13">
      <c r="A253" t="s">
        <v>288</v>
      </c>
      <c r="B253" t="s">
        <v>48</v>
      </c>
      <c r="C253" t="s">
        <v>15</v>
      </c>
      <c r="D253" t="s">
        <v>24</v>
      </c>
      <c r="E253" t="s">
        <v>17</v>
      </c>
      <c r="F253" s="2">
        <v>39</v>
      </c>
      <c r="G253" s="3">
        <v>18948</v>
      </c>
      <c r="H253" s="2">
        <v>7</v>
      </c>
      <c r="I253" s="2">
        <v>95</v>
      </c>
      <c r="J253" t="str">
        <f t="shared" si="12"/>
        <v>Adult (36-59)</v>
      </c>
      <c r="K253" t="str">
        <f t="shared" si="13"/>
        <v>High (&gt;8k)</v>
      </c>
      <c r="L253" t="str">
        <f t="shared" si="14"/>
        <v>Medium (4-7 days)</v>
      </c>
      <c r="M253" t="str">
        <f t="shared" si="15"/>
        <v>Excellent</v>
      </c>
    </row>
    <row r="254" spans="1:13">
      <c r="A254" t="s">
        <v>289</v>
      </c>
      <c r="B254" t="s">
        <v>14</v>
      </c>
      <c r="C254" t="s">
        <v>44</v>
      </c>
      <c r="D254" t="s">
        <v>33</v>
      </c>
      <c r="E254" t="s">
        <v>17</v>
      </c>
      <c r="F254" s="2">
        <v>16</v>
      </c>
      <c r="G254" s="3">
        <v>2146</v>
      </c>
      <c r="H254" s="2">
        <v>2</v>
      </c>
      <c r="I254" s="2">
        <v>65</v>
      </c>
      <c r="J254" t="str">
        <f t="shared" si="12"/>
        <v>Teen (13-19)</v>
      </c>
      <c r="K254" t="str">
        <f t="shared" si="13"/>
        <v>Low (&lt;3k)</v>
      </c>
      <c r="L254" t="str">
        <f t="shared" si="14"/>
        <v>Short (1-3 days)</v>
      </c>
      <c r="M254" t="str">
        <f t="shared" si="15"/>
        <v>Needs Attention</v>
      </c>
    </row>
    <row r="255" spans="1:13">
      <c r="A255" t="s">
        <v>290</v>
      </c>
      <c r="B255" t="s">
        <v>53</v>
      </c>
      <c r="C255" t="s">
        <v>27</v>
      </c>
      <c r="D255" t="s">
        <v>16</v>
      </c>
      <c r="E255" t="s">
        <v>21</v>
      </c>
      <c r="F255" s="2">
        <v>74</v>
      </c>
      <c r="G255" s="3">
        <v>955</v>
      </c>
      <c r="H255" s="2">
        <v>2</v>
      </c>
      <c r="I255" s="2">
        <v>85</v>
      </c>
      <c r="J255" t="str">
        <f t="shared" si="12"/>
        <v>Senior (60+)</v>
      </c>
      <c r="K255" t="str">
        <f t="shared" si="13"/>
        <v>Low (&lt;3k)</v>
      </c>
      <c r="L255" t="str">
        <f t="shared" si="14"/>
        <v>Short (1-3 days)</v>
      </c>
      <c r="M255" t="str">
        <f t="shared" si="15"/>
        <v>Excellent</v>
      </c>
    </row>
    <row r="256" spans="1:13">
      <c r="A256" t="s">
        <v>291</v>
      </c>
      <c r="B256" t="s">
        <v>26</v>
      </c>
      <c r="C256" t="s">
        <v>15</v>
      </c>
      <c r="D256" t="s">
        <v>35</v>
      </c>
      <c r="E256" t="s">
        <v>21</v>
      </c>
      <c r="F256" s="2">
        <v>62</v>
      </c>
      <c r="G256" s="3">
        <v>13612</v>
      </c>
      <c r="H256" s="2">
        <v>11</v>
      </c>
      <c r="I256" s="2">
        <v>99</v>
      </c>
      <c r="J256" t="str">
        <f t="shared" si="12"/>
        <v>Senior (60+)</v>
      </c>
      <c r="K256" t="str">
        <f t="shared" si="13"/>
        <v>High (&gt;8k)</v>
      </c>
      <c r="L256" t="str">
        <f t="shared" si="14"/>
        <v>Long (8+ days)</v>
      </c>
      <c r="M256" t="str">
        <f t="shared" si="15"/>
        <v>Excellent</v>
      </c>
    </row>
    <row r="257" spans="1:13">
      <c r="A257" t="s">
        <v>292</v>
      </c>
      <c r="B257" t="s">
        <v>29</v>
      </c>
      <c r="C257" t="s">
        <v>15</v>
      </c>
      <c r="D257" t="s">
        <v>46</v>
      </c>
      <c r="E257" t="s">
        <v>17</v>
      </c>
      <c r="F257" s="2">
        <v>83</v>
      </c>
      <c r="G257" s="3">
        <v>6215</v>
      </c>
      <c r="H257" s="2">
        <v>12</v>
      </c>
      <c r="I257" s="2">
        <v>79</v>
      </c>
      <c r="J257" t="str">
        <f t="shared" si="12"/>
        <v>Senior (60+)</v>
      </c>
      <c r="K257" t="str">
        <f t="shared" si="13"/>
        <v>Medium (3k-8k)</v>
      </c>
      <c r="L257" t="str">
        <f t="shared" si="14"/>
        <v>Long (8+ days)</v>
      </c>
      <c r="M257" t="str">
        <f t="shared" si="15"/>
        <v>Good</v>
      </c>
    </row>
    <row r="258" spans="1:13">
      <c r="A258" t="s">
        <v>293</v>
      </c>
      <c r="B258" t="s">
        <v>14</v>
      </c>
      <c r="C258" t="s">
        <v>30</v>
      </c>
      <c r="D258" t="s">
        <v>46</v>
      </c>
      <c r="E258" t="s">
        <v>17</v>
      </c>
      <c r="F258" s="2">
        <v>71</v>
      </c>
      <c r="G258" s="3">
        <v>6241</v>
      </c>
      <c r="H258" s="2">
        <v>4</v>
      </c>
      <c r="I258" s="2">
        <v>99</v>
      </c>
      <c r="J258" t="str">
        <f t="shared" ref="J258:J321" si="16">IF(F258&lt;=12,"Child (0-12)",IF(F258&lt;=19,"Teen (13-19)",IF(F258&lt;=35,"Young Adult (20-35)",IF(F258&lt;=59,"Adult (36-59)","Senior (60+)"))))</f>
        <v>Senior (60+)</v>
      </c>
      <c r="K258" t="str">
        <f t="shared" ref="K258:K321" si="17">IF(G258&lt;3000,"Low (&lt;3k)",IF(G258&lt;=8000,"Medium (3k-8k)","High (&gt;8k)"))</f>
        <v>Medium (3k-8k)</v>
      </c>
      <c r="L258" t="str">
        <f t="shared" ref="L258:L321" si="18">IF(H258&lt;=3,"Short (1-3 days)",IF(H258&lt;=7,"Medium (4-7 days)","Long (8+ days)"))</f>
        <v>Medium (4-7 days)</v>
      </c>
      <c r="M258" t="str">
        <f t="shared" ref="M258:M321" si="19">IF(I258&gt;=85,"Excellent",IF(I258&gt;=70,"Good","Needs Attention"))</f>
        <v>Excellent</v>
      </c>
    </row>
    <row r="259" spans="1:13">
      <c r="A259" t="s">
        <v>294</v>
      </c>
      <c r="B259" t="s">
        <v>26</v>
      </c>
      <c r="C259" t="s">
        <v>27</v>
      </c>
      <c r="D259" t="s">
        <v>24</v>
      </c>
      <c r="E259" t="s">
        <v>17</v>
      </c>
      <c r="F259" s="2">
        <v>8</v>
      </c>
      <c r="G259" s="3">
        <v>1902</v>
      </c>
      <c r="H259" s="2">
        <v>1</v>
      </c>
      <c r="I259" s="2">
        <v>83</v>
      </c>
      <c r="J259" t="str">
        <f t="shared" si="16"/>
        <v>Child (0-12)</v>
      </c>
      <c r="K259" t="str">
        <f t="shared" si="17"/>
        <v>Low (&lt;3k)</v>
      </c>
      <c r="L259" t="str">
        <f t="shared" si="18"/>
        <v>Short (1-3 days)</v>
      </c>
      <c r="M259" t="str">
        <f t="shared" si="19"/>
        <v>Good</v>
      </c>
    </row>
    <row r="260" spans="1:13">
      <c r="A260" t="s">
        <v>295</v>
      </c>
      <c r="B260" t="s">
        <v>26</v>
      </c>
      <c r="C260" t="s">
        <v>30</v>
      </c>
      <c r="D260" t="s">
        <v>46</v>
      </c>
      <c r="E260" t="s">
        <v>21</v>
      </c>
      <c r="F260" s="2">
        <v>29</v>
      </c>
      <c r="G260" s="3">
        <v>3834</v>
      </c>
      <c r="H260" s="2">
        <v>10</v>
      </c>
      <c r="I260" s="2">
        <v>68</v>
      </c>
      <c r="J260" t="str">
        <f t="shared" si="16"/>
        <v>Young Adult (20-35)</v>
      </c>
      <c r="K260" t="str">
        <f t="shared" si="17"/>
        <v>Medium (3k-8k)</v>
      </c>
      <c r="L260" t="str">
        <f t="shared" si="18"/>
        <v>Long (8+ days)</v>
      </c>
      <c r="M260" t="str">
        <f t="shared" si="19"/>
        <v>Needs Attention</v>
      </c>
    </row>
    <row r="261" spans="1:13">
      <c r="A261" t="s">
        <v>296</v>
      </c>
      <c r="B261" t="s">
        <v>53</v>
      </c>
      <c r="C261" t="s">
        <v>15</v>
      </c>
      <c r="D261" t="s">
        <v>31</v>
      </c>
      <c r="E261" t="s">
        <v>21</v>
      </c>
      <c r="F261" s="2">
        <v>71</v>
      </c>
      <c r="G261" s="3">
        <v>9496</v>
      </c>
      <c r="H261" s="2">
        <v>7</v>
      </c>
      <c r="I261" s="2">
        <v>90</v>
      </c>
      <c r="J261" t="str">
        <f t="shared" si="16"/>
        <v>Senior (60+)</v>
      </c>
      <c r="K261" t="str">
        <f t="shared" si="17"/>
        <v>High (&gt;8k)</v>
      </c>
      <c r="L261" t="str">
        <f t="shared" si="18"/>
        <v>Medium (4-7 days)</v>
      </c>
      <c r="M261" t="str">
        <f t="shared" si="19"/>
        <v>Excellent</v>
      </c>
    </row>
    <row r="262" spans="1:13">
      <c r="A262" t="s">
        <v>297</v>
      </c>
      <c r="B262" t="s">
        <v>48</v>
      </c>
      <c r="C262" t="s">
        <v>15</v>
      </c>
      <c r="D262" t="s">
        <v>24</v>
      </c>
      <c r="E262" t="s">
        <v>17</v>
      </c>
      <c r="F262" s="2">
        <v>76</v>
      </c>
      <c r="G262" s="3">
        <v>14513</v>
      </c>
      <c r="H262" s="2">
        <v>7</v>
      </c>
      <c r="I262" s="2">
        <v>60</v>
      </c>
      <c r="J262" t="str">
        <f t="shared" si="16"/>
        <v>Senior (60+)</v>
      </c>
      <c r="K262" t="str">
        <f t="shared" si="17"/>
        <v>High (&gt;8k)</v>
      </c>
      <c r="L262" t="str">
        <f t="shared" si="18"/>
        <v>Medium (4-7 days)</v>
      </c>
      <c r="M262" t="str">
        <f t="shared" si="19"/>
        <v>Needs Attention</v>
      </c>
    </row>
    <row r="263" spans="1:13">
      <c r="A263" t="s">
        <v>298</v>
      </c>
      <c r="B263" t="s">
        <v>14</v>
      </c>
      <c r="C263" t="s">
        <v>30</v>
      </c>
      <c r="D263" t="s">
        <v>20</v>
      </c>
      <c r="E263" t="s">
        <v>21</v>
      </c>
      <c r="F263" s="2">
        <v>4</v>
      </c>
      <c r="G263" s="3">
        <v>1665</v>
      </c>
      <c r="H263" s="2">
        <v>2</v>
      </c>
      <c r="I263" s="2">
        <v>91</v>
      </c>
      <c r="J263" t="str">
        <f t="shared" si="16"/>
        <v>Child (0-12)</v>
      </c>
      <c r="K263" t="str">
        <f t="shared" si="17"/>
        <v>Low (&lt;3k)</v>
      </c>
      <c r="L263" t="str">
        <f t="shared" si="18"/>
        <v>Short (1-3 days)</v>
      </c>
      <c r="M263" t="str">
        <f t="shared" si="19"/>
        <v>Excellent</v>
      </c>
    </row>
    <row r="264" spans="1:13">
      <c r="A264" t="s">
        <v>299</v>
      </c>
      <c r="B264" t="s">
        <v>53</v>
      </c>
      <c r="C264" t="s">
        <v>30</v>
      </c>
      <c r="D264" t="s">
        <v>64</v>
      </c>
      <c r="E264" t="s">
        <v>17</v>
      </c>
      <c r="F264" s="2">
        <v>54</v>
      </c>
      <c r="G264" s="3">
        <v>6063</v>
      </c>
      <c r="H264" s="2">
        <v>2</v>
      </c>
      <c r="I264" s="2">
        <v>81</v>
      </c>
      <c r="J264" t="str">
        <f t="shared" si="16"/>
        <v>Adult (36-59)</v>
      </c>
      <c r="K264" t="str">
        <f t="shared" si="17"/>
        <v>Medium (3k-8k)</v>
      </c>
      <c r="L264" t="str">
        <f t="shared" si="18"/>
        <v>Short (1-3 days)</v>
      </c>
      <c r="M264" t="str">
        <f t="shared" si="19"/>
        <v>Good</v>
      </c>
    </row>
    <row r="265" spans="1:13">
      <c r="A265" t="s">
        <v>300</v>
      </c>
      <c r="B265" t="s">
        <v>14</v>
      </c>
      <c r="C265" t="s">
        <v>30</v>
      </c>
      <c r="D265" t="s">
        <v>31</v>
      </c>
      <c r="E265" t="s">
        <v>21</v>
      </c>
      <c r="F265" s="2">
        <v>88</v>
      </c>
      <c r="G265" s="3">
        <v>4326</v>
      </c>
      <c r="H265" s="2">
        <v>6</v>
      </c>
      <c r="I265" s="2">
        <v>79</v>
      </c>
      <c r="J265" t="str">
        <f t="shared" si="16"/>
        <v>Senior (60+)</v>
      </c>
      <c r="K265" t="str">
        <f t="shared" si="17"/>
        <v>Medium (3k-8k)</v>
      </c>
      <c r="L265" t="str">
        <f t="shared" si="18"/>
        <v>Medium (4-7 days)</v>
      </c>
      <c r="M265" t="str">
        <f t="shared" si="19"/>
        <v>Good</v>
      </c>
    </row>
    <row r="266" spans="1:13">
      <c r="A266" t="s">
        <v>301</v>
      </c>
      <c r="B266" t="s">
        <v>19</v>
      </c>
      <c r="C266" t="s">
        <v>15</v>
      </c>
      <c r="D266" t="s">
        <v>46</v>
      </c>
      <c r="E266" t="s">
        <v>21</v>
      </c>
      <c r="F266" s="2">
        <v>62</v>
      </c>
      <c r="G266" s="3">
        <v>12609</v>
      </c>
      <c r="H266" s="2">
        <v>8</v>
      </c>
      <c r="I266" s="2">
        <v>71</v>
      </c>
      <c r="J266" t="str">
        <f t="shared" si="16"/>
        <v>Senior (60+)</v>
      </c>
      <c r="K266" t="str">
        <f t="shared" si="17"/>
        <v>High (&gt;8k)</v>
      </c>
      <c r="L266" t="str">
        <f t="shared" si="18"/>
        <v>Long (8+ days)</v>
      </c>
      <c r="M266" t="str">
        <f t="shared" si="19"/>
        <v>Good</v>
      </c>
    </row>
    <row r="267" spans="1:13">
      <c r="A267" t="s">
        <v>302</v>
      </c>
      <c r="B267" t="s">
        <v>23</v>
      </c>
      <c r="C267" t="s">
        <v>44</v>
      </c>
      <c r="D267" t="s">
        <v>33</v>
      </c>
      <c r="E267" t="s">
        <v>17</v>
      </c>
      <c r="F267" s="2">
        <v>41</v>
      </c>
      <c r="G267" s="3">
        <v>3329</v>
      </c>
      <c r="H267" s="2">
        <v>4</v>
      </c>
      <c r="I267" s="2">
        <v>58</v>
      </c>
      <c r="J267" t="str">
        <f t="shared" si="16"/>
        <v>Adult (36-59)</v>
      </c>
      <c r="K267" t="str">
        <f t="shared" si="17"/>
        <v>Medium (3k-8k)</v>
      </c>
      <c r="L267" t="str">
        <f t="shared" si="18"/>
        <v>Medium (4-7 days)</v>
      </c>
      <c r="M267" t="str">
        <f t="shared" si="19"/>
        <v>Needs Attention</v>
      </c>
    </row>
    <row r="268" spans="1:13">
      <c r="A268" t="s">
        <v>303</v>
      </c>
      <c r="B268" t="s">
        <v>53</v>
      </c>
      <c r="C268" t="s">
        <v>30</v>
      </c>
      <c r="D268" t="s">
        <v>24</v>
      </c>
      <c r="E268" t="s">
        <v>17</v>
      </c>
      <c r="F268" s="2">
        <v>41</v>
      </c>
      <c r="G268" s="3">
        <v>2980</v>
      </c>
      <c r="H268" s="2">
        <v>9</v>
      </c>
      <c r="I268" s="2">
        <v>57</v>
      </c>
      <c r="J268" t="str">
        <f t="shared" si="16"/>
        <v>Adult (36-59)</v>
      </c>
      <c r="K268" t="str">
        <f t="shared" si="17"/>
        <v>Low (&lt;3k)</v>
      </c>
      <c r="L268" t="str">
        <f t="shared" si="18"/>
        <v>Long (8+ days)</v>
      </c>
      <c r="M268" t="str">
        <f t="shared" si="19"/>
        <v>Needs Attention</v>
      </c>
    </row>
    <row r="269" spans="1:13">
      <c r="A269" t="s">
        <v>304</v>
      </c>
      <c r="B269" t="s">
        <v>48</v>
      </c>
      <c r="C269" t="s">
        <v>27</v>
      </c>
      <c r="D269" t="s">
        <v>64</v>
      </c>
      <c r="E269" t="s">
        <v>21</v>
      </c>
      <c r="F269" s="2">
        <v>7</v>
      </c>
      <c r="G269" s="3">
        <v>794</v>
      </c>
      <c r="H269" s="2">
        <v>2</v>
      </c>
      <c r="I269" s="2">
        <v>89</v>
      </c>
      <c r="J269" t="str">
        <f t="shared" si="16"/>
        <v>Child (0-12)</v>
      </c>
      <c r="K269" t="str">
        <f t="shared" si="17"/>
        <v>Low (&lt;3k)</v>
      </c>
      <c r="L269" t="str">
        <f t="shared" si="18"/>
        <v>Short (1-3 days)</v>
      </c>
      <c r="M269" t="str">
        <f t="shared" si="19"/>
        <v>Excellent</v>
      </c>
    </row>
    <row r="270" spans="1:13">
      <c r="A270" t="s">
        <v>305</v>
      </c>
      <c r="B270" t="s">
        <v>29</v>
      </c>
      <c r="C270" t="s">
        <v>44</v>
      </c>
      <c r="D270" t="s">
        <v>46</v>
      </c>
      <c r="E270" t="s">
        <v>17</v>
      </c>
      <c r="F270" s="2">
        <v>74</v>
      </c>
      <c r="G270" s="3">
        <v>3061</v>
      </c>
      <c r="H270" s="2">
        <v>2</v>
      </c>
      <c r="I270" s="2">
        <v>98</v>
      </c>
      <c r="J270" t="str">
        <f t="shared" si="16"/>
        <v>Senior (60+)</v>
      </c>
      <c r="K270" t="str">
        <f t="shared" si="17"/>
        <v>Medium (3k-8k)</v>
      </c>
      <c r="L270" t="str">
        <f t="shared" si="18"/>
        <v>Short (1-3 days)</v>
      </c>
      <c r="M270" t="str">
        <f t="shared" si="19"/>
        <v>Excellent</v>
      </c>
    </row>
    <row r="271" spans="1:13">
      <c r="A271" t="s">
        <v>306</v>
      </c>
      <c r="B271" t="s">
        <v>26</v>
      </c>
      <c r="C271" t="s">
        <v>27</v>
      </c>
      <c r="D271" t="s">
        <v>24</v>
      </c>
      <c r="E271" t="s">
        <v>21</v>
      </c>
      <c r="F271" s="2">
        <v>40</v>
      </c>
      <c r="G271" s="3">
        <v>1218</v>
      </c>
      <c r="H271" s="2">
        <v>1</v>
      </c>
      <c r="I271" s="2">
        <v>55</v>
      </c>
      <c r="J271" t="str">
        <f t="shared" si="16"/>
        <v>Adult (36-59)</v>
      </c>
      <c r="K271" t="str">
        <f t="shared" si="17"/>
        <v>Low (&lt;3k)</v>
      </c>
      <c r="L271" t="str">
        <f t="shared" si="18"/>
        <v>Short (1-3 days)</v>
      </c>
      <c r="M271" t="str">
        <f t="shared" si="19"/>
        <v>Needs Attention</v>
      </c>
    </row>
    <row r="272" spans="1:13">
      <c r="A272" t="s">
        <v>307</v>
      </c>
      <c r="B272" t="s">
        <v>29</v>
      </c>
      <c r="C272" t="s">
        <v>27</v>
      </c>
      <c r="D272" t="s">
        <v>64</v>
      </c>
      <c r="E272" t="s">
        <v>21</v>
      </c>
      <c r="F272" s="2">
        <v>46</v>
      </c>
      <c r="G272" s="3">
        <v>299</v>
      </c>
      <c r="H272" s="2">
        <v>1</v>
      </c>
      <c r="I272" s="2">
        <v>68</v>
      </c>
      <c r="J272" t="str">
        <f t="shared" si="16"/>
        <v>Adult (36-59)</v>
      </c>
      <c r="K272" t="str">
        <f t="shared" si="17"/>
        <v>Low (&lt;3k)</v>
      </c>
      <c r="L272" t="str">
        <f t="shared" si="18"/>
        <v>Short (1-3 days)</v>
      </c>
      <c r="M272" t="str">
        <f t="shared" si="19"/>
        <v>Needs Attention</v>
      </c>
    </row>
    <row r="273" spans="1:13">
      <c r="A273" t="s">
        <v>308</v>
      </c>
      <c r="B273" t="s">
        <v>29</v>
      </c>
      <c r="C273" t="s">
        <v>27</v>
      </c>
      <c r="D273" t="s">
        <v>31</v>
      </c>
      <c r="E273" t="s">
        <v>17</v>
      </c>
      <c r="F273" s="2">
        <v>14</v>
      </c>
      <c r="G273" s="3">
        <v>1082</v>
      </c>
      <c r="H273" s="2">
        <v>1</v>
      </c>
      <c r="I273" s="2">
        <v>66</v>
      </c>
      <c r="J273" t="str">
        <f t="shared" si="16"/>
        <v>Teen (13-19)</v>
      </c>
      <c r="K273" t="str">
        <f t="shared" si="17"/>
        <v>Low (&lt;3k)</v>
      </c>
      <c r="L273" t="str">
        <f t="shared" si="18"/>
        <v>Short (1-3 days)</v>
      </c>
      <c r="M273" t="str">
        <f t="shared" si="19"/>
        <v>Needs Attention</v>
      </c>
    </row>
    <row r="274" spans="1:13">
      <c r="A274" t="s">
        <v>309</v>
      </c>
      <c r="B274" t="s">
        <v>14</v>
      </c>
      <c r="C274" t="s">
        <v>30</v>
      </c>
      <c r="D274" t="s">
        <v>51</v>
      </c>
      <c r="E274" t="s">
        <v>21</v>
      </c>
      <c r="F274" s="2">
        <v>52</v>
      </c>
      <c r="G274" s="3">
        <v>1419</v>
      </c>
      <c r="H274" s="2">
        <v>10</v>
      </c>
      <c r="I274" s="2">
        <v>62</v>
      </c>
      <c r="J274" t="str">
        <f t="shared" si="16"/>
        <v>Adult (36-59)</v>
      </c>
      <c r="K274" t="str">
        <f t="shared" si="17"/>
        <v>Low (&lt;3k)</v>
      </c>
      <c r="L274" t="str">
        <f t="shared" si="18"/>
        <v>Long (8+ days)</v>
      </c>
      <c r="M274" t="str">
        <f t="shared" si="19"/>
        <v>Needs Attention</v>
      </c>
    </row>
    <row r="275" spans="1:13">
      <c r="A275" t="s">
        <v>310</v>
      </c>
      <c r="B275" t="s">
        <v>48</v>
      </c>
      <c r="C275" t="s">
        <v>30</v>
      </c>
      <c r="D275" t="s">
        <v>35</v>
      </c>
      <c r="E275" t="s">
        <v>21</v>
      </c>
      <c r="F275" s="2">
        <v>58</v>
      </c>
      <c r="G275" s="3">
        <v>5504</v>
      </c>
      <c r="H275" s="2">
        <v>6</v>
      </c>
      <c r="I275" s="2">
        <v>89</v>
      </c>
      <c r="J275" t="str">
        <f t="shared" si="16"/>
        <v>Adult (36-59)</v>
      </c>
      <c r="K275" t="str">
        <f t="shared" si="17"/>
        <v>Medium (3k-8k)</v>
      </c>
      <c r="L275" t="str">
        <f t="shared" si="18"/>
        <v>Medium (4-7 days)</v>
      </c>
      <c r="M275" t="str">
        <f t="shared" si="19"/>
        <v>Excellent</v>
      </c>
    </row>
    <row r="276" spans="1:13">
      <c r="A276" t="s">
        <v>311</v>
      </c>
      <c r="B276" t="s">
        <v>14</v>
      </c>
      <c r="C276" t="s">
        <v>15</v>
      </c>
      <c r="D276" t="s">
        <v>46</v>
      </c>
      <c r="E276" t="s">
        <v>17</v>
      </c>
      <c r="F276" s="2">
        <v>51</v>
      </c>
      <c r="G276" s="3">
        <v>11114</v>
      </c>
      <c r="H276" s="2">
        <v>10</v>
      </c>
      <c r="I276" s="2">
        <v>85</v>
      </c>
      <c r="J276" t="str">
        <f t="shared" si="16"/>
        <v>Adult (36-59)</v>
      </c>
      <c r="K276" t="str">
        <f t="shared" si="17"/>
        <v>High (&gt;8k)</v>
      </c>
      <c r="L276" t="str">
        <f t="shared" si="18"/>
        <v>Long (8+ days)</v>
      </c>
      <c r="M276" t="str">
        <f t="shared" si="19"/>
        <v>Excellent</v>
      </c>
    </row>
    <row r="277" spans="1:13">
      <c r="A277" t="s">
        <v>312</v>
      </c>
      <c r="B277" t="s">
        <v>48</v>
      </c>
      <c r="C277" t="s">
        <v>44</v>
      </c>
      <c r="D277" t="s">
        <v>64</v>
      </c>
      <c r="E277" t="s">
        <v>17</v>
      </c>
      <c r="F277" s="2">
        <v>52</v>
      </c>
      <c r="G277" s="3">
        <v>4596</v>
      </c>
      <c r="H277" s="2">
        <v>1</v>
      </c>
      <c r="I277" s="2">
        <v>52</v>
      </c>
      <c r="J277" t="str">
        <f t="shared" si="16"/>
        <v>Adult (36-59)</v>
      </c>
      <c r="K277" t="str">
        <f t="shared" si="17"/>
        <v>Medium (3k-8k)</v>
      </c>
      <c r="L277" t="str">
        <f t="shared" si="18"/>
        <v>Short (1-3 days)</v>
      </c>
      <c r="M277" t="str">
        <f t="shared" si="19"/>
        <v>Needs Attention</v>
      </c>
    </row>
    <row r="278" spans="1:13">
      <c r="A278" t="s">
        <v>313</v>
      </c>
      <c r="B278" t="s">
        <v>19</v>
      </c>
      <c r="C278" t="s">
        <v>44</v>
      </c>
      <c r="D278" t="s">
        <v>33</v>
      </c>
      <c r="E278" t="s">
        <v>17</v>
      </c>
      <c r="F278" s="2">
        <v>67</v>
      </c>
      <c r="G278" s="3">
        <v>4243</v>
      </c>
      <c r="H278" s="2">
        <v>2</v>
      </c>
      <c r="I278" s="2">
        <v>88</v>
      </c>
      <c r="J278" t="str">
        <f t="shared" si="16"/>
        <v>Senior (60+)</v>
      </c>
      <c r="K278" t="str">
        <f t="shared" si="17"/>
        <v>Medium (3k-8k)</v>
      </c>
      <c r="L278" t="str">
        <f t="shared" si="18"/>
        <v>Short (1-3 days)</v>
      </c>
      <c r="M278" t="str">
        <f t="shared" si="19"/>
        <v>Excellent</v>
      </c>
    </row>
    <row r="279" spans="1:13">
      <c r="A279" t="s">
        <v>314</v>
      </c>
      <c r="B279" t="s">
        <v>23</v>
      </c>
      <c r="C279" t="s">
        <v>44</v>
      </c>
      <c r="D279" t="s">
        <v>33</v>
      </c>
      <c r="E279" t="s">
        <v>17</v>
      </c>
      <c r="F279" s="2">
        <v>41</v>
      </c>
      <c r="G279" s="3">
        <v>1831</v>
      </c>
      <c r="H279" s="2">
        <v>4</v>
      </c>
      <c r="I279" s="2">
        <v>89</v>
      </c>
      <c r="J279" t="str">
        <f t="shared" si="16"/>
        <v>Adult (36-59)</v>
      </c>
      <c r="K279" t="str">
        <f t="shared" si="17"/>
        <v>Low (&lt;3k)</v>
      </c>
      <c r="L279" t="str">
        <f t="shared" si="18"/>
        <v>Medium (4-7 days)</v>
      </c>
      <c r="M279" t="str">
        <f t="shared" si="19"/>
        <v>Excellent</v>
      </c>
    </row>
    <row r="280" spans="1:13">
      <c r="A280" t="s">
        <v>315</v>
      </c>
      <c r="B280" t="s">
        <v>14</v>
      </c>
      <c r="C280" t="s">
        <v>30</v>
      </c>
      <c r="D280" t="s">
        <v>20</v>
      </c>
      <c r="E280" t="s">
        <v>21</v>
      </c>
      <c r="F280" s="2">
        <v>66</v>
      </c>
      <c r="G280" s="3">
        <v>5360</v>
      </c>
      <c r="H280" s="2">
        <v>9</v>
      </c>
      <c r="I280" s="2">
        <v>95</v>
      </c>
      <c r="J280" t="str">
        <f t="shared" si="16"/>
        <v>Senior (60+)</v>
      </c>
      <c r="K280" t="str">
        <f t="shared" si="17"/>
        <v>Medium (3k-8k)</v>
      </c>
      <c r="L280" t="str">
        <f t="shared" si="18"/>
        <v>Long (8+ days)</v>
      </c>
      <c r="M280" t="str">
        <f t="shared" si="19"/>
        <v>Excellent</v>
      </c>
    </row>
    <row r="281" spans="1:13">
      <c r="A281" t="s">
        <v>316</v>
      </c>
      <c r="B281" t="s">
        <v>23</v>
      </c>
      <c r="C281" t="s">
        <v>30</v>
      </c>
      <c r="D281" t="s">
        <v>38</v>
      </c>
      <c r="E281" t="s">
        <v>17</v>
      </c>
      <c r="F281" s="2">
        <v>48</v>
      </c>
      <c r="G281" s="3">
        <v>3713</v>
      </c>
      <c r="H281" s="2">
        <v>3</v>
      </c>
      <c r="I281" s="2">
        <v>76</v>
      </c>
      <c r="J281" t="str">
        <f t="shared" si="16"/>
        <v>Adult (36-59)</v>
      </c>
      <c r="K281" t="str">
        <f t="shared" si="17"/>
        <v>Medium (3k-8k)</v>
      </c>
      <c r="L281" t="str">
        <f t="shared" si="18"/>
        <v>Short (1-3 days)</v>
      </c>
      <c r="M281" t="str">
        <f t="shared" si="19"/>
        <v>Good</v>
      </c>
    </row>
    <row r="282" spans="1:13">
      <c r="A282" t="s">
        <v>317</v>
      </c>
      <c r="B282" t="s">
        <v>23</v>
      </c>
      <c r="C282" t="s">
        <v>30</v>
      </c>
      <c r="D282" t="s">
        <v>16</v>
      </c>
      <c r="E282" t="s">
        <v>17</v>
      </c>
      <c r="F282" s="2">
        <v>34</v>
      </c>
      <c r="G282" s="3">
        <v>6370</v>
      </c>
      <c r="H282" s="2">
        <v>5</v>
      </c>
      <c r="I282" s="2">
        <v>96</v>
      </c>
      <c r="J282" t="str">
        <f t="shared" si="16"/>
        <v>Young Adult (20-35)</v>
      </c>
      <c r="K282" t="str">
        <f t="shared" si="17"/>
        <v>Medium (3k-8k)</v>
      </c>
      <c r="L282" t="str">
        <f t="shared" si="18"/>
        <v>Medium (4-7 days)</v>
      </c>
      <c r="M282" t="str">
        <f t="shared" si="19"/>
        <v>Excellent</v>
      </c>
    </row>
    <row r="283" spans="1:13">
      <c r="A283" t="s">
        <v>318</v>
      </c>
      <c r="B283" t="s">
        <v>19</v>
      </c>
      <c r="C283" t="s">
        <v>27</v>
      </c>
      <c r="D283" t="s">
        <v>46</v>
      </c>
      <c r="E283" t="s">
        <v>17</v>
      </c>
      <c r="F283" s="2">
        <v>80</v>
      </c>
      <c r="G283" s="3">
        <v>1786</v>
      </c>
      <c r="H283" s="2">
        <v>2</v>
      </c>
      <c r="I283" s="2">
        <v>59</v>
      </c>
      <c r="J283" t="str">
        <f t="shared" si="16"/>
        <v>Senior (60+)</v>
      </c>
      <c r="K283" t="str">
        <f t="shared" si="17"/>
        <v>Low (&lt;3k)</v>
      </c>
      <c r="L283" t="str">
        <f t="shared" si="18"/>
        <v>Short (1-3 days)</v>
      </c>
      <c r="M283" t="str">
        <f t="shared" si="19"/>
        <v>Needs Attention</v>
      </c>
    </row>
    <row r="284" spans="1:13">
      <c r="A284" t="s">
        <v>319</v>
      </c>
      <c r="B284" t="s">
        <v>53</v>
      </c>
      <c r="C284" t="s">
        <v>44</v>
      </c>
      <c r="D284" t="s">
        <v>16</v>
      </c>
      <c r="E284" t="s">
        <v>17</v>
      </c>
      <c r="F284" s="2">
        <v>90</v>
      </c>
      <c r="G284" s="3">
        <v>1400</v>
      </c>
      <c r="H284" s="2">
        <v>2</v>
      </c>
      <c r="I284" s="2">
        <v>51</v>
      </c>
      <c r="J284" t="str">
        <f t="shared" si="16"/>
        <v>Senior (60+)</v>
      </c>
      <c r="K284" t="str">
        <f t="shared" si="17"/>
        <v>Low (&lt;3k)</v>
      </c>
      <c r="L284" t="str">
        <f t="shared" si="18"/>
        <v>Short (1-3 days)</v>
      </c>
      <c r="M284" t="str">
        <f t="shared" si="19"/>
        <v>Needs Attention</v>
      </c>
    </row>
    <row r="285" spans="1:13">
      <c r="A285" t="s">
        <v>320</v>
      </c>
      <c r="B285" t="s">
        <v>29</v>
      </c>
      <c r="C285" t="s">
        <v>30</v>
      </c>
      <c r="D285" t="s">
        <v>51</v>
      </c>
      <c r="E285" t="s">
        <v>21</v>
      </c>
      <c r="F285" s="2">
        <v>89</v>
      </c>
      <c r="G285" s="3">
        <v>2670</v>
      </c>
      <c r="H285" s="2">
        <v>8</v>
      </c>
      <c r="I285" s="2">
        <v>82</v>
      </c>
      <c r="J285" t="str">
        <f t="shared" si="16"/>
        <v>Senior (60+)</v>
      </c>
      <c r="K285" t="str">
        <f t="shared" si="17"/>
        <v>Low (&lt;3k)</v>
      </c>
      <c r="L285" t="str">
        <f t="shared" si="18"/>
        <v>Long (8+ days)</v>
      </c>
      <c r="M285" t="str">
        <f t="shared" si="19"/>
        <v>Good</v>
      </c>
    </row>
    <row r="286" spans="1:13">
      <c r="A286" t="s">
        <v>321</v>
      </c>
      <c r="B286" t="s">
        <v>53</v>
      </c>
      <c r="C286" t="s">
        <v>27</v>
      </c>
      <c r="D286" t="s">
        <v>16</v>
      </c>
      <c r="E286" t="s">
        <v>17</v>
      </c>
      <c r="F286" s="2">
        <v>67</v>
      </c>
      <c r="G286" s="3">
        <v>624</v>
      </c>
      <c r="H286" s="2">
        <v>3</v>
      </c>
      <c r="I286" s="2">
        <v>70</v>
      </c>
      <c r="J286" t="str">
        <f t="shared" si="16"/>
        <v>Senior (60+)</v>
      </c>
      <c r="K286" t="str">
        <f t="shared" si="17"/>
        <v>Low (&lt;3k)</v>
      </c>
      <c r="L286" t="str">
        <f t="shared" si="18"/>
        <v>Short (1-3 days)</v>
      </c>
      <c r="M286" t="str">
        <f t="shared" si="19"/>
        <v>Good</v>
      </c>
    </row>
    <row r="287" spans="1:13">
      <c r="A287" t="s">
        <v>322</v>
      </c>
      <c r="B287" t="s">
        <v>14</v>
      </c>
      <c r="C287" t="s">
        <v>27</v>
      </c>
      <c r="D287" t="s">
        <v>24</v>
      </c>
      <c r="E287" t="s">
        <v>21</v>
      </c>
      <c r="F287" s="2">
        <v>23</v>
      </c>
      <c r="G287" s="3">
        <v>1141</v>
      </c>
      <c r="H287" s="2">
        <v>3</v>
      </c>
      <c r="I287" s="2">
        <v>71</v>
      </c>
      <c r="J287" t="str">
        <f t="shared" si="16"/>
        <v>Young Adult (20-35)</v>
      </c>
      <c r="K287" t="str">
        <f t="shared" si="17"/>
        <v>Low (&lt;3k)</v>
      </c>
      <c r="L287" t="str">
        <f t="shared" si="18"/>
        <v>Short (1-3 days)</v>
      </c>
      <c r="M287" t="str">
        <f t="shared" si="19"/>
        <v>Good</v>
      </c>
    </row>
    <row r="288" spans="1:13">
      <c r="A288" t="s">
        <v>323</v>
      </c>
      <c r="B288" t="s">
        <v>23</v>
      </c>
      <c r="C288" t="s">
        <v>30</v>
      </c>
      <c r="D288" t="s">
        <v>31</v>
      </c>
      <c r="E288" t="s">
        <v>17</v>
      </c>
      <c r="F288" s="2">
        <v>25</v>
      </c>
      <c r="G288" s="3">
        <v>3019</v>
      </c>
      <c r="H288" s="2">
        <v>6</v>
      </c>
      <c r="I288" s="2">
        <v>85</v>
      </c>
      <c r="J288" t="str">
        <f t="shared" si="16"/>
        <v>Young Adult (20-35)</v>
      </c>
      <c r="K288" t="str">
        <f t="shared" si="17"/>
        <v>Medium (3k-8k)</v>
      </c>
      <c r="L288" t="str">
        <f t="shared" si="18"/>
        <v>Medium (4-7 days)</v>
      </c>
      <c r="M288" t="str">
        <f t="shared" si="19"/>
        <v>Excellent</v>
      </c>
    </row>
    <row r="289" spans="1:13">
      <c r="A289" t="s">
        <v>324</v>
      </c>
      <c r="B289" t="s">
        <v>48</v>
      </c>
      <c r="C289" t="s">
        <v>44</v>
      </c>
      <c r="D289" t="s">
        <v>31</v>
      </c>
      <c r="E289" t="s">
        <v>17</v>
      </c>
      <c r="F289" s="2">
        <v>27</v>
      </c>
      <c r="G289" s="3">
        <v>4505</v>
      </c>
      <c r="H289" s="2">
        <v>3</v>
      </c>
      <c r="I289" s="2">
        <v>80</v>
      </c>
      <c r="J289" t="str">
        <f t="shared" si="16"/>
        <v>Young Adult (20-35)</v>
      </c>
      <c r="K289" t="str">
        <f t="shared" si="17"/>
        <v>Medium (3k-8k)</v>
      </c>
      <c r="L289" t="str">
        <f t="shared" si="18"/>
        <v>Short (1-3 days)</v>
      </c>
      <c r="M289" t="str">
        <f t="shared" si="19"/>
        <v>Good</v>
      </c>
    </row>
    <row r="290" spans="1:13">
      <c r="A290" t="s">
        <v>325</v>
      </c>
      <c r="B290" t="s">
        <v>48</v>
      </c>
      <c r="C290" t="s">
        <v>30</v>
      </c>
      <c r="D290" t="s">
        <v>31</v>
      </c>
      <c r="E290" t="s">
        <v>21</v>
      </c>
      <c r="F290" s="2">
        <v>87</v>
      </c>
      <c r="G290" s="3">
        <v>5449</v>
      </c>
      <c r="H290" s="2">
        <v>8</v>
      </c>
      <c r="I290" s="2">
        <v>75</v>
      </c>
      <c r="J290" t="str">
        <f t="shared" si="16"/>
        <v>Senior (60+)</v>
      </c>
      <c r="K290" t="str">
        <f t="shared" si="17"/>
        <v>Medium (3k-8k)</v>
      </c>
      <c r="L290" t="str">
        <f t="shared" si="18"/>
        <v>Long (8+ days)</v>
      </c>
      <c r="M290" t="str">
        <f t="shared" si="19"/>
        <v>Good</v>
      </c>
    </row>
    <row r="291" spans="1:13">
      <c r="A291" t="s">
        <v>326</v>
      </c>
      <c r="B291" t="s">
        <v>53</v>
      </c>
      <c r="C291" t="s">
        <v>30</v>
      </c>
      <c r="D291" t="s">
        <v>46</v>
      </c>
      <c r="E291" t="s">
        <v>21</v>
      </c>
      <c r="F291" s="2">
        <v>37</v>
      </c>
      <c r="G291" s="3">
        <v>6850</v>
      </c>
      <c r="H291" s="2">
        <v>3</v>
      </c>
      <c r="I291" s="2">
        <v>72</v>
      </c>
      <c r="J291" t="str">
        <f t="shared" si="16"/>
        <v>Adult (36-59)</v>
      </c>
      <c r="K291" t="str">
        <f t="shared" si="17"/>
        <v>Medium (3k-8k)</v>
      </c>
      <c r="L291" t="str">
        <f t="shared" si="18"/>
        <v>Short (1-3 days)</v>
      </c>
      <c r="M291" t="str">
        <f t="shared" si="19"/>
        <v>Good</v>
      </c>
    </row>
    <row r="292" spans="1:13">
      <c r="A292" t="s">
        <v>327</v>
      </c>
      <c r="B292" t="s">
        <v>29</v>
      </c>
      <c r="C292" t="s">
        <v>30</v>
      </c>
      <c r="D292" t="s">
        <v>38</v>
      </c>
      <c r="E292" t="s">
        <v>21</v>
      </c>
      <c r="F292" s="2">
        <v>69</v>
      </c>
      <c r="G292" s="3">
        <v>3221</v>
      </c>
      <c r="H292" s="2">
        <v>10</v>
      </c>
      <c r="I292" s="2">
        <v>94</v>
      </c>
      <c r="J292" t="str">
        <f t="shared" si="16"/>
        <v>Senior (60+)</v>
      </c>
      <c r="K292" t="str">
        <f t="shared" si="17"/>
        <v>Medium (3k-8k)</v>
      </c>
      <c r="L292" t="str">
        <f t="shared" si="18"/>
        <v>Long (8+ days)</v>
      </c>
      <c r="M292" t="str">
        <f t="shared" si="19"/>
        <v>Excellent</v>
      </c>
    </row>
    <row r="293" spans="1:13">
      <c r="A293" t="s">
        <v>328</v>
      </c>
      <c r="B293" t="s">
        <v>48</v>
      </c>
      <c r="C293" t="s">
        <v>44</v>
      </c>
      <c r="D293" t="s">
        <v>35</v>
      </c>
      <c r="E293" t="s">
        <v>17</v>
      </c>
      <c r="F293" s="2">
        <v>76</v>
      </c>
      <c r="G293" s="3">
        <v>2460</v>
      </c>
      <c r="H293" s="2">
        <v>2</v>
      </c>
      <c r="I293" s="2">
        <v>53</v>
      </c>
      <c r="J293" t="str">
        <f t="shared" si="16"/>
        <v>Senior (60+)</v>
      </c>
      <c r="K293" t="str">
        <f t="shared" si="17"/>
        <v>Low (&lt;3k)</v>
      </c>
      <c r="L293" t="str">
        <f t="shared" si="18"/>
        <v>Short (1-3 days)</v>
      </c>
      <c r="M293" t="str">
        <f t="shared" si="19"/>
        <v>Needs Attention</v>
      </c>
    </row>
    <row r="294" spans="1:13">
      <c r="A294" t="s">
        <v>329</v>
      </c>
      <c r="B294" t="s">
        <v>14</v>
      </c>
      <c r="C294" t="s">
        <v>44</v>
      </c>
      <c r="D294" t="s">
        <v>64</v>
      </c>
      <c r="E294" t="s">
        <v>21</v>
      </c>
      <c r="F294" s="2">
        <v>53</v>
      </c>
      <c r="G294" s="3">
        <v>3205</v>
      </c>
      <c r="H294" s="2">
        <v>4</v>
      </c>
      <c r="I294" s="2">
        <v>56</v>
      </c>
      <c r="J294" t="str">
        <f t="shared" si="16"/>
        <v>Adult (36-59)</v>
      </c>
      <c r="K294" t="str">
        <f t="shared" si="17"/>
        <v>Medium (3k-8k)</v>
      </c>
      <c r="L294" t="str">
        <f t="shared" si="18"/>
        <v>Medium (4-7 days)</v>
      </c>
      <c r="M294" t="str">
        <f t="shared" si="19"/>
        <v>Needs Attention</v>
      </c>
    </row>
    <row r="295" spans="1:13">
      <c r="A295" t="s">
        <v>330</v>
      </c>
      <c r="B295" t="s">
        <v>14</v>
      </c>
      <c r="C295" t="s">
        <v>44</v>
      </c>
      <c r="D295" t="s">
        <v>16</v>
      </c>
      <c r="E295" t="s">
        <v>17</v>
      </c>
      <c r="F295" s="2">
        <v>21</v>
      </c>
      <c r="G295" s="3">
        <v>3833</v>
      </c>
      <c r="H295" s="2">
        <v>4</v>
      </c>
      <c r="I295" s="2">
        <v>80</v>
      </c>
      <c r="J295" t="str">
        <f t="shared" si="16"/>
        <v>Young Adult (20-35)</v>
      </c>
      <c r="K295" t="str">
        <f t="shared" si="17"/>
        <v>Medium (3k-8k)</v>
      </c>
      <c r="L295" t="str">
        <f t="shared" si="18"/>
        <v>Medium (4-7 days)</v>
      </c>
      <c r="M295" t="str">
        <f t="shared" si="19"/>
        <v>Good</v>
      </c>
    </row>
    <row r="296" spans="1:13">
      <c r="A296" t="s">
        <v>331</v>
      </c>
      <c r="B296" t="s">
        <v>14</v>
      </c>
      <c r="C296" t="s">
        <v>44</v>
      </c>
      <c r="D296" t="s">
        <v>31</v>
      </c>
      <c r="E296" t="s">
        <v>21</v>
      </c>
      <c r="F296" s="2">
        <v>83</v>
      </c>
      <c r="G296" s="3">
        <v>984</v>
      </c>
      <c r="H296" s="2">
        <v>1</v>
      </c>
      <c r="I296" s="2">
        <v>91</v>
      </c>
      <c r="J296" t="str">
        <f t="shared" si="16"/>
        <v>Senior (60+)</v>
      </c>
      <c r="K296" t="str">
        <f t="shared" si="17"/>
        <v>Low (&lt;3k)</v>
      </c>
      <c r="L296" t="str">
        <f t="shared" si="18"/>
        <v>Short (1-3 days)</v>
      </c>
      <c r="M296" t="str">
        <f t="shared" si="19"/>
        <v>Excellent</v>
      </c>
    </row>
    <row r="297" spans="1:13">
      <c r="A297" t="s">
        <v>332</v>
      </c>
      <c r="B297" t="s">
        <v>23</v>
      </c>
      <c r="C297" t="s">
        <v>44</v>
      </c>
      <c r="D297" t="s">
        <v>24</v>
      </c>
      <c r="E297" t="s">
        <v>17</v>
      </c>
      <c r="F297" s="2">
        <v>5</v>
      </c>
      <c r="G297" s="3">
        <v>1934</v>
      </c>
      <c r="H297" s="2">
        <v>4</v>
      </c>
      <c r="I297" s="2">
        <v>61</v>
      </c>
      <c r="J297" t="str">
        <f t="shared" si="16"/>
        <v>Child (0-12)</v>
      </c>
      <c r="K297" t="str">
        <f t="shared" si="17"/>
        <v>Low (&lt;3k)</v>
      </c>
      <c r="L297" t="str">
        <f t="shared" si="18"/>
        <v>Medium (4-7 days)</v>
      </c>
      <c r="M297" t="str">
        <f t="shared" si="19"/>
        <v>Needs Attention</v>
      </c>
    </row>
    <row r="298" spans="1:13">
      <c r="A298" t="s">
        <v>333</v>
      </c>
      <c r="B298" t="s">
        <v>19</v>
      </c>
      <c r="C298" t="s">
        <v>27</v>
      </c>
      <c r="D298" t="s">
        <v>38</v>
      </c>
      <c r="E298" t="s">
        <v>21</v>
      </c>
      <c r="F298" s="2">
        <v>38</v>
      </c>
      <c r="G298" s="3">
        <v>1995</v>
      </c>
      <c r="H298" s="2">
        <v>1</v>
      </c>
      <c r="I298" s="2">
        <v>50</v>
      </c>
      <c r="J298" t="str">
        <f t="shared" si="16"/>
        <v>Adult (36-59)</v>
      </c>
      <c r="K298" t="str">
        <f t="shared" si="17"/>
        <v>Low (&lt;3k)</v>
      </c>
      <c r="L298" t="str">
        <f t="shared" si="18"/>
        <v>Short (1-3 days)</v>
      </c>
      <c r="M298" t="str">
        <f t="shared" si="19"/>
        <v>Needs Attention</v>
      </c>
    </row>
    <row r="299" spans="1:13">
      <c r="A299" t="s">
        <v>334</v>
      </c>
      <c r="B299" t="s">
        <v>48</v>
      </c>
      <c r="C299" t="s">
        <v>15</v>
      </c>
      <c r="D299" t="s">
        <v>33</v>
      </c>
      <c r="E299" t="s">
        <v>21</v>
      </c>
      <c r="F299" s="2">
        <v>83</v>
      </c>
      <c r="G299" s="3">
        <v>13901</v>
      </c>
      <c r="H299" s="2">
        <v>13</v>
      </c>
      <c r="I299" s="2">
        <v>81</v>
      </c>
      <c r="J299" t="str">
        <f t="shared" si="16"/>
        <v>Senior (60+)</v>
      </c>
      <c r="K299" t="str">
        <f t="shared" si="17"/>
        <v>High (&gt;8k)</v>
      </c>
      <c r="L299" t="str">
        <f t="shared" si="18"/>
        <v>Long (8+ days)</v>
      </c>
      <c r="M299" t="str">
        <f t="shared" si="19"/>
        <v>Good</v>
      </c>
    </row>
    <row r="300" spans="1:13">
      <c r="A300" t="s">
        <v>335</v>
      </c>
      <c r="B300" t="s">
        <v>26</v>
      </c>
      <c r="C300" t="s">
        <v>27</v>
      </c>
      <c r="D300" t="s">
        <v>31</v>
      </c>
      <c r="E300" t="s">
        <v>21</v>
      </c>
      <c r="F300" s="2">
        <v>15</v>
      </c>
      <c r="G300" s="3">
        <v>877</v>
      </c>
      <c r="H300" s="2">
        <v>1</v>
      </c>
      <c r="I300" s="2">
        <v>96</v>
      </c>
      <c r="J300" t="str">
        <f t="shared" si="16"/>
        <v>Teen (13-19)</v>
      </c>
      <c r="K300" t="str">
        <f t="shared" si="17"/>
        <v>Low (&lt;3k)</v>
      </c>
      <c r="L300" t="str">
        <f t="shared" si="18"/>
        <v>Short (1-3 days)</v>
      </c>
      <c r="M300" t="str">
        <f t="shared" si="19"/>
        <v>Excellent</v>
      </c>
    </row>
    <row r="301" spans="1:13">
      <c r="A301" t="s">
        <v>336</v>
      </c>
      <c r="B301" t="s">
        <v>29</v>
      </c>
      <c r="C301" t="s">
        <v>30</v>
      </c>
      <c r="D301" t="s">
        <v>46</v>
      </c>
      <c r="E301" t="s">
        <v>21</v>
      </c>
      <c r="F301" s="2">
        <v>44</v>
      </c>
      <c r="G301" s="3">
        <v>3416</v>
      </c>
      <c r="H301" s="2">
        <v>5</v>
      </c>
      <c r="I301" s="2">
        <v>61</v>
      </c>
      <c r="J301" t="str">
        <f t="shared" si="16"/>
        <v>Adult (36-59)</v>
      </c>
      <c r="K301" t="str">
        <f t="shared" si="17"/>
        <v>Medium (3k-8k)</v>
      </c>
      <c r="L301" t="str">
        <f t="shared" si="18"/>
        <v>Medium (4-7 days)</v>
      </c>
      <c r="M301" t="str">
        <f t="shared" si="19"/>
        <v>Needs Attention</v>
      </c>
    </row>
    <row r="302" spans="1:13">
      <c r="A302" t="s">
        <v>337</v>
      </c>
      <c r="B302" t="s">
        <v>23</v>
      </c>
      <c r="C302" t="s">
        <v>27</v>
      </c>
      <c r="D302" t="s">
        <v>51</v>
      </c>
      <c r="E302" t="s">
        <v>17</v>
      </c>
      <c r="F302" s="2">
        <v>12</v>
      </c>
      <c r="G302" s="3">
        <v>1020</v>
      </c>
      <c r="H302" s="2">
        <v>3</v>
      </c>
      <c r="I302" s="2">
        <v>56</v>
      </c>
      <c r="J302" t="str">
        <f t="shared" si="16"/>
        <v>Child (0-12)</v>
      </c>
      <c r="K302" t="str">
        <f t="shared" si="17"/>
        <v>Low (&lt;3k)</v>
      </c>
      <c r="L302" t="str">
        <f t="shared" si="18"/>
        <v>Short (1-3 days)</v>
      </c>
      <c r="M302" t="str">
        <f t="shared" si="19"/>
        <v>Needs Attention</v>
      </c>
    </row>
    <row r="303" spans="1:13">
      <c r="A303" t="s">
        <v>338</v>
      </c>
      <c r="B303" t="s">
        <v>26</v>
      </c>
      <c r="C303" t="s">
        <v>44</v>
      </c>
      <c r="D303" t="s">
        <v>38</v>
      </c>
      <c r="E303" t="s">
        <v>21</v>
      </c>
      <c r="F303" s="2">
        <v>32</v>
      </c>
      <c r="G303" s="3">
        <v>555</v>
      </c>
      <c r="H303" s="2">
        <v>3</v>
      </c>
      <c r="I303" s="2">
        <v>74</v>
      </c>
      <c r="J303" t="str">
        <f t="shared" si="16"/>
        <v>Young Adult (20-35)</v>
      </c>
      <c r="K303" t="str">
        <f t="shared" si="17"/>
        <v>Low (&lt;3k)</v>
      </c>
      <c r="L303" t="str">
        <f t="shared" si="18"/>
        <v>Short (1-3 days)</v>
      </c>
      <c r="M303" t="str">
        <f t="shared" si="19"/>
        <v>Good</v>
      </c>
    </row>
    <row r="304" spans="1:13">
      <c r="A304" t="s">
        <v>339</v>
      </c>
      <c r="B304" t="s">
        <v>26</v>
      </c>
      <c r="C304" t="s">
        <v>27</v>
      </c>
      <c r="D304" t="s">
        <v>31</v>
      </c>
      <c r="E304" t="s">
        <v>17</v>
      </c>
      <c r="F304" s="2">
        <v>39</v>
      </c>
      <c r="G304" s="3">
        <v>1392</v>
      </c>
      <c r="H304" s="2">
        <v>3</v>
      </c>
      <c r="I304" s="2">
        <v>86</v>
      </c>
      <c r="J304" t="str">
        <f t="shared" si="16"/>
        <v>Adult (36-59)</v>
      </c>
      <c r="K304" t="str">
        <f t="shared" si="17"/>
        <v>Low (&lt;3k)</v>
      </c>
      <c r="L304" t="str">
        <f t="shared" si="18"/>
        <v>Short (1-3 days)</v>
      </c>
      <c r="M304" t="str">
        <f t="shared" si="19"/>
        <v>Excellent</v>
      </c>
    </row>
    <row r="305" spans="1:13">
      <c r="A305" t="s">
        <v>340</v>
      </c>
      <c r="B305" t="s">
        <v>19</v>
      </c>
      <c r="C305" t="s">
        <v>30</v>
      </c>
      <c r="D305" t="s">
        <v>33</v>
      </c>
      <c r="E305" t="s">
        <v>17</v>
      </c>
      <c r="F305" s="2">
        <v>8</v>
      </c>
      <c r="G305" s="3">
        <v>6470</v>
      </c>
      <c r="H305" s="2">
        <v>3</v>
      </c>
      <c r="I305" s="2">
        <v>79</v>
      </c>
      <c r="J305" t="str">
        <f t="shared" si="16"/>
        <v>Child (0-12)</v>
      </c>
      <c r="K305" t="str">
        <f t="shared" si="17"/>
        <v>Medium (3k-8k)</v>
      </c>
      <c r="L305" t="str">
        <f t="shared" si="18"/>
        <v>Short (1-3 days)</v>
      </c>
      <c r="M305" t="str">
        <f t="shared" si="19"/>
        <v>Good</v>
      </c>
    </row>
    <row r="306" spans="1:13">
      <c r="A306" t="s">
        <v>341</v>
      </c>
      <c r="B306" t="s">
        <v>48</v>
      </c>
      <c r="C306" t="s">
        <v>44</v>
      </c>
      <c r="D306" t="s">
        <v>51</v>
      </c>
      <c r="E306" t="s">
        <v>17</v>
      </c>
      <c r="F306" s="2">
        <v>40</v>
      </c>
      <c r="G306" s="3">
        <v>1461</v>
      </c>
      <c r="H306" s="2">
        <v>3</v>
      </c>
      <c r="I306" s="2">
        <v>73</v>
      </c>
      <c r="J306" t="str">
        <f t="shared" si="16"/>
        <v>Adult (36-59)</v>
      </c>
      <c r="K306" t="str">
        <f t="shared" si="17"/>
        <v>Low (&lt;3k)</v>
      </c>
      <c r="L306" t="str">
        <f t="shared" si="18"/>
        <v>Short (1-3 days)</v>
      </c>
      <c r="M306" t="str">
        <f t="shared" si="19"/>
        <v>Good</v>
      </c>
    </row>
    <row r="307" spans="1:13">
      <c r="A307" t="s">
        <v>342</v>
      </c>
      <c r="B307" t="s">
        <v>23</v>
      </c>
      <c r="C307" t="s">
        <v>44</v>
      </c>
      <c r="D307" t="s">
        <v>64</v>
      </c>
      <c r="E307" t="s">
        <v>17</v>
      </c>
      <c r="F307" s="2">
        <v>62</v>
      </c>
      <c r="G307" s="3">
        <v>1754</v>
      </c>
      <c r="H307" s="2">
        <v>4</v>
      </c>
      <c r="I307" s="2">
        <v>97</v>
      </c>
      <c r="J307" t="str">
        <f t="shared" si="16"/>
        <v>Senior (60+)</v>
      </c>
      <c r="K307" t="str">
        <f t="shared" si="17"/>
        <v>Low (&lt;3k)</v>
      </c>
      <c r="L307" t="str">
        <f t="shared" si="18"/>
        <v>Medium (4-7 days)</v>
      </c>
      <c r="M307" t="str">
        <f t="shared" si="19"/>
        <v>Excellent</v>
      </c>
    </row>
    <row r="308" spans="1:13">
      <c r="A308" t="s">
        <v>343</v>
      </c>
      <c r="B308" t="s">
        <v>23</v>
      </c>
      <c r="C308" t="s">
        <v>30</v>
      </c>
      <c r="D308" t="s">
        <v>51</v>
      </c>
      <c r="E308" t="s">
        <v>17</v>
      </c>
      <c r="F308" s="2">
        <v>61</v>
      </c>
      <c r="G308" s="3">
        <v>5403</v>
      </c>
      <c r="H308" s="2">
        <v>5</v>
      </c>
      <c r="I308" s="2">
        <v>98</v>
      </c>
      <c r="J308" t="str">
        <f t="shared" si="16"/>
        <v>Senior (60+)</v>
      </c>
      <c r="K308" t="str">
        <f t="shared" si="17"/>
        <v>Medium (3k-8k)</v>
      </c>
      <c r="L308" t="str">
        <f t="shared" si="18"/>
        <v>Medium (4-7 days)</v>
      </c>
      <c r="M308" t="str">
        <f t="shared" si="19"/>
        <v>Excellent</v>
      </c>
    </row>
    <row r="309" spans="1:13">
      <c r="A309" t="s">
        <v>344</v>
      </c>
      <c r="B309" t="s">
        <v>26</v>
      </c>
      <c r="C309" t="s">
        <v>15</v>
      </c>
      <c r="D309" t="s">
        <v>24</v>
      </c>
      <c r="E309" t="s">
        <v>21</v>
      </c>
      <c r="F309" s="2">
        <v>47</v>
      </c>
      <c r="G309" s="3">
        <v>6279</v>
      </c>
      <c r="H309" s="2">
        <v>14</v>
      </c>
      <c r="I309" s="2">
        <v>57</v>
      </c>
      <c r="J309" t="str">
        <f t="shared" si="16"/>
        <v>Adult (36-59)</v>
      </c>
      <c r="K309" t="str">
        <f t="shared" si="17"/>
        <v>Medium (3k-8k)</v>
      </c>
      <c r="L309" t="str">
        <f t="shared" si="18"/>
        <v>Long (8+ days)</v>
      </c>
      <c r="M309" t="str">
        <f t="shared" si="19"/>
        <v>Needs Attention</v>
      </c>
    </row>
    <row r="310" spans="1:13">
      <c r="A310" t="s">
        <v>345</v>
      </c>
      <c r="B310" t="s">
        <v>19</v>
      </c>
      <c r="C310" t="s">
        <v>44</v>
      </c>
      <c r="D310" t="s">
        <v>20</v>
      </c>
      <c r="E310" t="s">
        <v>17</v>
      </c>
      <c r="F310" s="2">
        <v>22</v>
      </c>
      <c r="G310" s="3">
        <v>3187</v>
      </c>
      <c r="H310" s="2">
        <v>5</v>
      </c>
      <c r="I310" s="2">
        <v>78</v>
      </c>
      <c r="J310" t="str">
        <f t="shared" si="16"/>
        <v>Young Adult (20-35)</v>
      </c>
      <c r="K310" t="str">
        <f t="shared" si="17"/>
        <v>Medium (3k-8k)</v>
      </c>
      <c r="L310" t="str">
        <f t="shared" si="18"/>
        <v>Medium (4-7 days)</v>
      </c>
      <c r="M310" t="str">
        <f t="shared" si="19"/>
        <v>Good</v>
      </c>
    </row>
    <row r="311" spans="1:13">
      <c r="A311" t="s">
        <v>346</v>
      </c>
      <c r="B311" t="s">
        <v>19</v>
      </c>
      <c r="C311" t="s">
        <v>44</v>
      </c>
      <c r="D311" t="s">
        <v>20</v>
      </c>
      <c r="E311" t="s">
        <v>21</v>
      </c>
      <c r="F311" s="2">
        <v>66</v>
      </c>
      <c r="G311" s="3">
        <v>4149</v>
      </c>
      <c r="H311" s="2">
        <v>1</v>
      </c>
      <c r="I311" s="2">
        <v>79</v>
      </c>
      <c r="J311" t="str">
        <f t="shared" si="16"/>
        <v>Senior (60+)</v>
      </c>
      <c r="K311" t="str">
        <f t="shared" si="17"/>
        <v>Medium (3k-8k)</v>
      </c>
      <c r="L311" t="str">
        <f t="shared" si="18"/>
        <v>Short (1-3 days)</v>
      </c>
      <c r="M311" t="str">
        <f t="shared" si="19"/>
        <v>Good</v>
      </c>
    </row>
    <row r="312" spans="1:13">
      <c r="A312" t="s">
        <v>347</v>
      </c>
      <c r="B312" t="s">
        <v>26</v>
      </c>
      <c r="C312" t="s">
        <v>27</v>
      </c>
      <c r="D312" t="s">
        <v>38</v>
      </c>
      <c r="E312" t="s">
        <v>17</v>
      </c>
      <c r="F312" s="2">
        <v>72</v>
      </c>
      <c r="G312" s="3">
        <v>1146</v>
      </c>
      <c r="H312" s="2">
        <v>3</v>
      </c>
      <c r="I312" s="2">
        <v>69</v>
      </c>
      <c r="J312" t="str">
        <f t="shared" si="16"/>
        <v>Senior (60+)</v>
      </c>
      <c r="K312" t="str">
        <f t="shared" si="17"/>
        <v>Low (&lt;3k)</v>
      </c>
      <c r="L312" t="str">
        <f t="shared" si="18"/>
        <v>Short (1-3 days)</v>
      </c>
      <c r="M312" t="str">
        <f t="shared" si="19"/>
        <v>Needs Attention</v>
      </c>
    </row>
    <row r="313" spans="1:13">
      <c r="A313" t="s">
        <v>348</v>
      </c>
      <c r="B313" t="s">
        <v>14</v>
      </c>
      <c r="C313" t="s">
        <v>15</v>
      </c>
      <c r="D313" t="s">
        <v>51</v>
      </c>
      <c r="E313" t="s">
        <v>21</v>
      </c>
      <c r="F313" s="2">
        <v>1</v>
      </c>
      <c r="G313" s="3">
        <v>17219</v>
      </c>
      <c r="H313" s="2">
        <v>8</v>
      </c>
      <c r="I313" s="2">
        <v>87</v>
      </c>
      <c r="J313" t="str">
        <f t="shared" si="16"/>
        <v>Child (0-12)</v>
      </c>
      <c r="K313" t="str">
        <f t="shared" si="17"/>
        <v>High (&gt;8k)</v>
      </c>
      <c r="L313" t="str">
        <f t="shared" si="18"/>
        <v>Long (8+ days)</v>
      </c>
      <c r="M313" t="str">
        <f t="shared" si="19"/>
        <v>Excellent</v>
      </c>
    </row>
    <row r="314" spans="1:13">
      <c r="A314" t="s">
        <v>349</v>
      </c>
      <c r="B314" t="s">
        <v>19</v>
      </c>
      <c r="C314" t="s">
        <v>15</v>
      </c>
      <c r="D314" t="s">
        <v>51</v>
      </c>
      <c r="E314" t="s">
        <v>21</v>
      </c>
      <c r="F314" s="2">
        <v>9</v>
      </c>
      <c r="G314" s="3">
        <v>13866</v>
      </c>
      <c r="H314" s="2">
        <v>5</v>
      </c>
      <c r="I314" s="2">
        <v>54</v>
      </c>
      <c r="J314" t="str">
        <f t="shared" si="16"/>
        <v>Child (0-12)</v>
      </c>
      <c r="K314" t="str">
        <f t="shared" si="17"/>
        <v>High (&gt;8k)</v>
      </c>
      <c r="L314" t="str">
        <f t="shared" si="18"/>
        <v>Medium (4-7 days)</v>
      </c>
      <c r="M314" t="str">
        <f t="shared" si="19"/>
        <v>Needs Attention</v>
      </c>
    </row>
    <row r="315" spans="1:13">
      <c r="A315" t="s">
        <v>350</v>
      </c>
      <c r="B315" t="s">
        <v>29</v>
      </c>
      <c r="C315" t="s">
        <v>15</v>
      </c>
      <c r="D315" t="s">
        <v>31</v>
      </c>
      <c r="E315" t="s">
        <v>21</v>
      </c>
      <c r="F315" s="2">
        <v>18</v>
      </c>
      <c r="G315" s="3">
        <v>17547</v>
      </c>
      <c r="H315" s="2">
        <v>15</v>
      </c>
      <c r="I315" s="2">
        <v>96</v>
      </c>
      <c r="J315" t="str">
        <f t="shared" si="16"/>
        <v>Teen (13-19)</v>
      </c>
      <c r="K315" t="str">
        <f t="shared" si="17"/>
        <v>High (&gt;8k)</v>
      </c>
      <c r="L315" t="str">
        <f t="shared" si="18"/>
        <v>Long (8+ days)</v>
      </c>
      <c r="M315" t="str">
        <f t="shared" si="19"/>
        <v>Excellent</v>
      </c>
    </row>
    <row r="316" spans="1:13">
      <c r="A316" t="s">
        <v>351</v>
      </c>
      <c r="B316" t="s">
        <v>14</v>
      </c>
      <c r="C316" t="s">
        <v>27</v>
      </c>
      <c r="D316" t="s">
        <v>33</v>
      </c>
      <c r="E316" t="s">
        <v>41</v>
      </c>
      <c r="F316" s="2">
        <v>49</v>
      </c>
      <c r="G316" s="3">
        <v>1118</v>
      </c>
      <c r="H316" s="2">
        <v>2</v>
      </c>
      <c r="I316" s="2">
        <v>74</v>
      </c>
      <c r="J316" t="str">
        <f t="shared" si="16"/>
        <v>Adult (36-59)</v>
      </c>
      <c r="K316" t="str">
        <f t="shared" si="17"/>
        <v>Low (&lt;3k)</v>
      </c>
      <c r="L316" t="str">
        <f t="shared" si="18"/>
        <v>Short (1-3 days)</v>
      </c>
      <c r="M316" t="str">
        <f t="shared" si="19"/>
        <v>Good</v>
      </c>
    </row>
    <row r="317" spans="1:13">
      <c r="A317" t="s">
        <v>352</v>
      </c>
      <c r="B317" t="s">
        <v>19</v>
      </c>
      <c r="C317" t="s">
        <v>44</v>
      </c>
      <c r="D317" t="s">
        <v>33</v>
      </c>
      <c r="E317" t="s">
        <v>21</v>
      </c>
      <c r="F317" s="2">
        <v>69</v>
      </c>
      <c r="G317" s="3">
        <v>3719</v>
      </c>
      <c r="H317" s="2">
        <v>5</v>
      </c>
      <c r="I317" s="2">
        <v>58</v>
      </c>
      <c r="J317" t="str">
        <f t="shared" si="16"/>
        <v>Senior (60+)</v>
      </c>
      <c r="K317" t="str">
        <f t="shared" si="17"/>
        <v>Medium (3k-8k)</v>
      </c>
      <c r="L317" t="str">
        <f t="shared" si="18"/>
        <v>Medium (4-7 days)</v>
      </c>
      <c r="M317" t="str">
        <f t="shared" si="19"/>
        <v>Needs Attention</v>
      </c>
    </row>
    <row r="318" spans="1:13">
      <c r="A318" t="s">
        <v>353</v>
      </c>
      <c r="B318" t="s">
        <v>14</v>
      </c>
      <c r="C318" t="s">
        <v>44</v>
      </c>
      <c r="D318" t="s">
        <v>16</v>
      </c>
      <c r="E318" t="s">
        <v>17</v>
      </c>
      <c r="F318" s="2">
        <v>39</v>
      </c>
      <c r="G318" s="3">
        <v>4292</v>
      </c>
      <c r="H318" s="2">
        <v>5</v>
      </c>
      <c r="I318" s="2">
        <v>77</v>
      </c>
      <c r="J318" t="str">
        <f t="shared" si="16"/>
        <v>Adult (36-59)</v>
      </c>
      <c r="K318" t="str">
        <f t="shared" si="17"/>
        <v>Medium (3k-8k)</v>
      </c>
      <c r="L318" t="str">
        <f t="shared" si="18"/>
        <v>Medium (4-7 days)</v>
      </c>
      <c r="M318" t="str">
        <f t="shared" si="19"/>
        <v>Good</v>
      </c>
    </row>
    <row r="319" spans="1:13">
      <c r="A319" t="s">
        <v>354</v>
      </c>
      <c r="B319" t="s">
        <v>23</v>
      </c>
      <c r="C319" t="s">
        <v>27</v>
      </c>
      <c r="D319" t="s">
        <v>64</v>
      </c>
      <c r="E319" t="s">
        <v>21</v>
      </c>
      <c r="F319" s="2">
        <v>45</v>
      </c>
      <c r="G319" s="3">
        <v>517</v>
      </c>
      <c r="H319" s="2">
        <v>2</v>
      </c>
      <c r="I319" s="2">
        <v>62</v>
      </c>
      <c r="J319" t="str">
        <f t="shared" si="16"/>
        <v>Adult (36-59)</v>
      </c>
      <c r="K319" t="str">
        <f t="shared" si="17"/>
        <v>Low (&lt;3k)</v>
      </c>
      <c r="L319" t="str">
        <f t="shared" si="18"/>
        <v>Short (1-3 days)</v>
      </c>
      <c r="M319" t="str">
        <f t="shared" si="19"/>
        <v>Needs Attention</v>
      </c>
    </row>
    <row r="320" spans="1:13">
      <c r="A320" t="s">
        <v>355</v>
      </c>
      <c r="B320" t="s">
        <v>14</v>
      </c>
      <c r="C320" t="s">
        <v>15</v>
      </c>
      <c r="D320" t="s">
        <v>16</v>
      </c>
      <c r="E320" t="s">
        <v>17</v>
      </c>
      <c r="F320" s="2">
        <v>54</v>
      </c>
      <c r="G320" s="3">
        <v>15074</v>
      </c>
      <c r="H320" s="2">
        <v>5</v>
      </c>
      <c r="I320" s="2">
        <v>65</v>
      </c>
      <c r="J320" t="str">
        <f t="shared" si="16"/>
        <v>Adult (36-59)</v>
      </c>
      <c r="K320" t="str">
        <f t="shared" si="17"/>
        <v>High (&gt;8k)</v>
      </c>
      <c r="L320" t="str">
        <f t="shared" si="18"/>
        <v>Medium (4-7 days)</v>
      </c>
      <c r="M320" t="str">
        <f t="shared" si="19"/>
        <v>Needs Attention</v>
      </c>
    </row>
    <row r="321" spans="1:13">
      <c r="A321" t="s">
        <v>356</v>
      </c>
      <c r="B321" t="s">
        <v>26</v>
      </c>
      <c r="C321" t="s">
        <v>15</v>
      </c>
      <c r="D321" t="s">
        <v>35</v>
      </c>
      <c r="E321" t="s">
        <v>17</v>
      </c>
      <c r="F321" s="2">
        <v>58</v>
      </c>
      <c r="G321" s="3">
        <v>14794</v>
      </c>
      <c r="H321" s="2">
        <v>15</v>
      </c>
      <c r="I321" s="2">
        <v>95</v>
      </c>
      <c r="J321" t="str">
        <f t="shared" si="16"/>
        <v>Adult (36-59)</v>
      </c>
      <c r="K321" t="str">
        <f t="shared" si="17"/>
        <v>High (&gt;8k)</v>
      </c>
      <c r="L321" t="str">
        <f t="shared" si="18"/>
        <v>Long (8+ days)</v>
      </c>
      <c r="M321" t="str">
        <f t="shared" si="19"/>
        <v>Excellent</v>
      </c>
    </row>
    <row r="322" spans="1:13">
      <c r="A322" t="s">
        <v>357</v>
      </c>
      <c r="B322" t="s">
        <v>53</v>
      </c>
      <c r="C322" t="s">
        <v>15</v>
      </c>
      <c r="D322" t="s">
        <v>64</v>
      </c>
      <c r="E322" t="s">
        <v>17</v>
      </c>
      <c r="F322" s="2">
        <v>52</v>
      </c>
      <c r="G322" s="3">
        <v>12191</v>
      </c>
      <c r="H322" s="2">
        <v>8</v>
      </c>
      <c r="I322" s="2">
        <v>84</v>
      </c>
      <c r="J322" t="str">
        <f t="shared" ref="J322:J385" si="20">IF(F322&lt;=12,"Child (0-12)",IF(F322&lt;=19,"Teen (13-19)",IF(F322&lt;=35,"Young Adult (20-35)",IF(F322&lt;=59,"Adult (36-59)","Senior (60+)"))))</f>
        <v>Adult (36-59)</v>
      </c>
      <c r="K322" t="str">
        <f t="shared" ref="K322:K385" si="21">IF(G322&lt;3000,"Low (&lt;3k)",IF(G322&lt;=8000,"Medium (3k-8k)","High (&gt;8k)"))</f>
        <v>High (&gt;8k)</v>
      </c>
      <c r="L322" t="str">
        <f t="shared" ref="L322:L385" si="22">IF(H322&lt;=3,"Short (1-3 days)",IF(H322&lt;=7,"Medium (4-7 days)","Long (8+ days)"))</f>
        <v>Long (8+ days)</v>
      </c>
      <c r="M322" t="str">
        <f t="shared" ref="M322:M385" si="23">IF(I322&gt;=85,"Excellent",IF(I322&gt;=70,"Good","Needs Attention"))</f>
        <v>Good</v>
      </c>
    </row>
    <row r="323" spans="1:13">
      <c r="A323" t="s">
        <v>358</v>
      </c>
      <c r="B323" t="s">
        <v>26</v>
      </c>
      <c r="C323" t="s">
        <v>15</v>
      </c>
      <c r="D323" t="s">
        <v>46</v>
      </c>
      <c r="E323" t="s">
        <v>17</v>
      </c>
      <c r="F323" s="2">
        <v>38</v>
      </c>
      <c r="G323" s="3">
        <v>8836</v>
      </c>
      <c r="H323" s="2">
        <v>14</v>
      </c>
      <c r="I323" s="2">
        <v>70</v>
      </c>
      <c r="J323" t="str">
        <f t="shared" si="20"/>
        <v>Adult (36-59)</v>
      </c>
      <c r="K323" t="str">
        <f t="shared" si="21"/>
        <v>High (&gt;8k)</v>
      </c>
      <c r="L323" t="str">
        <f t="shared" si="22"/>
        <v>Long (8+ days)</v>
      </c>
      <c r="M323" t="str">
        <f t="shared" si="23"/>
        <v>Good</v>
      </c>
    </row>
    <row r="324" spans="1:13">
      <c r="A324" t="s">
        <v>359</v>
      </c>
      <c r="B324" t="s">
        <v>23</v>
      </c>
      <c r="C324" t="s">
        <v>30</v>
      </c>
      <c r="D324" t="s">
        <v>64</v>
      </c>
      <c r="E324" t="s">
        <v>21</v>
      </c>
      <c r="F324" s="2">
        <v>19</v>
      </c>
      <c r="G324" s="3">
        <v>6408</v>
      </c>
      <c r="H324" s="2">
        <v>10</v>
      </c>
      <c r="I324" s="2">
        <v>64</v>
      </c>
      <c r="J324" t="str">
        <f t="shared" si="20"/>
        <v>Teen (13-19)</v>
      </c>
      <c r="K324" t="str">
        <f t="shared" si="21"/>
        <v>Medium (3k-8k)</v>
      </c>
      <c r="L324" t="str">
        <f t="shared" si="22"/>
        <v>Long (8+ days)</v>
      </c>
      <c r="M324" t="str">
        <f t="shared" si="23"/>
        <v>Needs Attention</v>
      </c>
    </row>
    <row r="325" spans="1:13">
      <c r="A325" t="s">
        <v>360</v>
      </c>
      <c r="B325" t="s">
        <v>29</v>
      </c>
      <c r="C325" t="s">
        <v>30</v>
      </c>
      <c r="D325" t="s">
        <v>31</v>
      </c>
      <c r="E325" t="s">
        <v>21</v>
      </c>
      <c r="F325" s="2">
        <v>76</v>
      </c>
      <c r="G325" s="3">
        <v>2434</v>
      </c>
      <c r="H325" s="2">
        <v>8</v>
      </c>
      <c r="I325" s="2">
        <v>85</v>
      </c>
      <c r="J325" t="str">
        <f t="shared" si="20"/>
        <v>Senior (60+)</v>
      </c>
      <c r="K325" t="str">
        <f t="shared" si="21"/>
        <v>Low (&lt;3k)</v>
      </c>
      <c r="L325" t="str">
        <f t="shared" si="22"/>
        <v>Long (8+ days)</v>
      </c>
      <c r="M325" t="str">
        <f t="shared" si="23"/>
        <v>Excellent</v>
      </c>
    </row>
    <row r="326" spans="1:13">
      <c r="A326" t="s">
        <v>361</v>
      </c>
      <c r="B326" t="s">
        <v>29</v>
      </c>
      <c r="C326" t="s">
        <v>15</v>
      </c>
      <c r="D326" t="s">
        <v>33</v>
      </c>
      <c r="E326" t="s">
        <v>17</v>
      </c>
      <c r="F326" s="2">
        <v>86</v>
      </c>
      <c r="G326" s="3">
        <v>11244</v>
      </c>
      <c r="H326" s="2">
        <v>13</v>
      </c>
      <c r="I326" s="2">
        <v>70</v>
      </c>
      <c r="J326" t="str">
        <f t="shared" si="20"/>
        <v>Senior (60+)</v>
      </c>
      <c r="K326" t="str">
        <f t="shared" si="21"/>
        <v>High (&gt;8k)</v>
      </c>
      <c r="L326" t="str">
        <f t="shared" si="22"/>
        <v>Long (8+ days)</v>
      </c>
      <c r="M326" t="str">
        <f t="shared" si="23"/>
        <v>Good</v>
      </c>
    </row>
    <row r="327" spans="1:13">
      <c r="A327" t="s">
        <v>362</v>
      </c>
      <c r="B327" t="s">
        <v>14</v>
      </c>
      <c r="C327" t="s">
        <v>27</v>
      </c>
      <c r="D327" t="s">
        <v>51</v>
      </c>
      <c r="E327" t="s">
        <v>21</v>
      </c>
      <c r="F327" s="2">
        <v>49</v>
      </c>
      <c r="G327" s="3">
        <v>576</v>
      </c>
      <c r="H327" s="2">
        <v>3</v>
      </c>
      <c r="I327" s="2">
        <v>80</v>
      </c>
      <c r="J327" t="str">
        <f t="shared" si="20"/>
        <v>Adult (36-59)</v>
      </c>
      <c r="K327" t="str">
        <f t="shared" si="21"/>
        <v>Low (&lt;3k)</v>
      </c>
      <c r="L327" t="str">
        <f t="shared" si="22"/>
        <v>Short (1-3 days)</v>
      </c>
      <c r="M327" t="str">
        <f t="shared" si="23"/>
        <v>Good</v>
      </c>
    </row>
    <row r="328" spans="1:13">
      <c r="A328" t="s">
        <v>363</v>
      </c>
      <c r="B328" t="s">
        <v>26</v>
      </c>
      <c r="C328" t="s">
        <v>44</v>
      </c>
      <c r="D328" t="s">
        <v>31</v>
      </c>
      <c r="E328" t="s">
        <v>17</v>
      </c>
      <c r="F328" s="2">
        <v>19</v>
      </c>
      <c r="G328" s="3">
        <v>4293</v>
      </c>
      <c r="H328" s="2">
        <v>1</v>
      </c>
      <c r="I328" s="2">
        <v>85</v>
      </c>
      <c r="J328" t="str">
        <f t="shared" si="20"/>
        <v>Teen (13-19)</v>
      </c>
      <c r="K328" t="str">
        <f t="shared" si="21"/>
        <v>Medium (3k-8k)</v>
      </c>
      <c r="L328" t="str">
        <f t="shared" si="22"/>
        <v>Short (1-3 days)</v>
      </c>
      <c r="M328" t="str">
        <f t="shared" si="23"/>
        <v>Excellent</v>
      </c>
    </row>
    <row r="329" spans="1:13">
      <c r="A329" t="s">
        <v>364</v>
      </c>
      <c r="B329" t="s">
        <v>29</v>
      </c>
      <c r="C329" t="s">
        <v>27</v>
      </c>
      <c r="D329" t="s">
        <v>24</v>
      </c>
      <c r="E329" t="s">
        <v>17</v>
      </c>
      <c r="F329" s="2">
        <v>50</v>
      </c>
      <c r="G329" s="3">
        <v>697</v>
      </c>
      <c r="H329" s="2">
        <v>2</v>
      </c>
      <c r="I329" s="2">
        <v>63</v>
      </c>
      <c r="J329" t="str">
        <f t="shared" si="20"/>
        <v>Adult (36-59)</v>
      </c>
      <c r="K329" t="str">
        <f t="shared" si="21"/>
        <v>Low (&lt;3k)</v>
      </c>
      <c r="L329" t="str">
        <f t="shared" si="22"/>
        <v>Short (1-3 days)</v>
      </c>
      <c r="M329" t="str">
        <f t="shared" si="23"/>
        <v>Needs Attention</v>
      </c>
    </row>
    <row r="330" spans="1:13">
      <c r="A330" t="s">
        <v>365</v>
      </c>
      <c r="B330" t="s">
        <v>48</v>
      </c>
      <c r="C330" t="s">
        <v>15</v>
      </c>
      <c r="D330" t="s">
        <v>38</v>
      </c>
      <c r="E330" t="s">
        <v>17</v>
      </c>
      <c r="F330" s="2">
        <v>12</v>
      </c>
      <c r="G330" s="3">
        <v>13775</v>
      </c>
      <c r="H330" s="2">
        <v>8</v>
      </c>
      <c r="I330" s="2">
        <v>53</v>
      </c>
      <c r="J330" t="str">
        <f t="shared" si="20"/>
        <v>Child (0-12)</v>
      </c>
      <c r="K330" t="str">
        <f t="shared" si="21"/>
        <v>High (&gt;8k)</v>
      </c>
      <c r="L330" t="str">
        <f t="shared" si="22"/>
        <v>Long (8+ days)</v>
      </c>
      <c r="M330" t="str">
        <f t="shared" si="23"/>
        <v>Needs Attention</v>
      </c>
    </row>
    <row r="331" spans="1:13">
      <c r="A331" t="s">
        <v>366</v>
      </c>
      <c r="B331" t="s">
        <v>48</v>
      </c>
      <c r="C331" t="s">
        <v>27</v>
      </c>
      <c r="D331" t="s">
        <v>20</v>
      </c>
      <c r="E331" t="s">
        <v>17</v>
      </c>
      <c r="F331" s="2">
        <v>10</v>
      </c>
      <c r="G331" s="3">
        <v>585</v>
      </c>
      <c r="H331" s="2">
        <v>3</v>
      </c>
      <c r="I331" s="2">
        <v>96</v>
      </c>
      <c r="J331" t="str">
        <f t="shared" si="20"/>
        <v>Child (0-12)</v>
      </c>
      <c r="K331" t="str">
        <f t="shared" si="21"/>
        <v>Low (&lt;3k)</v>
      </c>
      <c r="L331" t="str">
        <f t="shared" si="22"/>
        <v>Short (1-3 days)</v>
      </c>
      <c r="M331" t="str">
        <f t="shared" si="23"/>
        <v>Excellent</v>
      </c>
    </row>
    <row r="332" spans="1:13">
      <c r="A332" t="s">
        <v>367</v>
      </c>
      <c r="B332" t="s">
        <v>14</v>
      </c>
      <c r="C332" t="s">
        <v>44</v>
      </c>
      <c r="D332" t="s">
        <v>38</v>
      </c>
      <c r="E332" t="s">
        <v>21</v>
      </c>
      <c r="F332" s="2">
        <v>43</v>
      </c>
      <c r="G332" s="3">
        <v>2983</v>
      </c>
      <c r="H332" s="2">
        <v>1</v>
      </c>
      <c r="I332" s="2">
        <v>63</v>
      </c>
      <c r="J332" t="str">
        <f t="shared" si="20"/>
        <v>Adult (36-59)</v>
      </c>
      <c r="K332" t="str">
        <f t="shared" si="21"/>
        <v>Low (&lt;3k)</v>
      </c>
      <c r="L332" t="str">
        <f t="shared" si="22"/>
        <v>Short (1-3 days)</v>
      </c>
      <c r="M332" t="str">
        <f t="shared" si="23"/>
        <v>Needs Attention</v>
      </c>
    </row>
    <row r="333" spans="1:13">
      <c r="A333" t="s">
        <v>368</v>
      </c>
      <c r="B333" t="s">
        <v>26</v>
      </c>
      <c r="C333" t="s">
        <v>15</v>
      </c>
      <c r="D333" t="s">
        <v>38</v>
      </c>
      <c r="E333" t="s">
        <v>17</v>
      </c>
      <c r="F333" s="2">
        <v>90</v>
      </c>
      <c r="G333" s="3">
        <v>14902</v>
      </c>
      <c r="H333" s="2">
        <v>8</v>
      </c>
      <c r="I333" s="2">
        <v>75</v>
      </c>
      <c r="J333" t="str">
        <f t="shared" si="20"/>
        <v>Senior (60+)</v>
      </c>
      <c r="K333" t="str">
        <f t="shared" si="21"/>
        <v>High (&gt;8k)</v>
      </c>
      <c r="L333" t="str">
        <f t="shared" si="22"/>
        <v>Long (8+ days)</v>
      </c>
      <c r="M333" t="str">
        <f t="shared" si="23"/>
        <v>Good</v>
      </c>
    </row>
    <row r="334" spans="1:13">
      <c r="A334" t="s">
        <v>369</v>
      </c>
      <c r="B334" t="s">
        <v>26</v>
      </c>
      <c r="C334" t="s">
        <v>30</v>
      </c>
      <c r="D334" t="s">
        <v>31</v>
      </c>
      <c r="E334" t="s">
        <v>21</v>
      </c>
      <c r="F334" s="2">
        <v>69</v>
      </c>
      <c r="G334" s="3">
        <v>6314</v>
      </c>
      <c r="H334" s="2">
        <v>7</v>
      </c>
      <c r="I334" s="2">
        <v>69</v>
      </c>
      <c r="J334" t="str">
        <f t="shared" si="20"/>
        <v>Senior (60+)</v>
      </c>
      <c r="K334" t="str">
        <f t="shared" si="21"/>
        <v>Medium (3k-8k)</v>
      </c>
      <c r="L334" t="str">
        <f t="shared" si="22"/>
        <v>Medium (4-7 days)</v>
      </c>
      <c r="M334" t="str">
        <f t="shared" si="23"/>
        <v>Needs Attention</v>
      </c>
    </row>
    <row r="335" spans="1:13">
      <c r="A335" t="s">
        <v>370</v>
      </c>
      <c r="B335" t="s">
        <v>48</v>
      </c>
      <c r="C335" t="s">
        <v>30</v>
      </c>
      <c r="D335" t="s">
        <v>24</v>
      </c>
      <c r="E335" t="s">
        <v>17</v>
      </c>
      <c r="F335" s="2">
        <v>60</v>
      </c>
      <c r="G335" s="3">
        <v>1807</v>
      </c>
      <c r="H335" s="2">
        <v>9</v>
      </c>
      <c r="I335" s="2">
        <v>98</v>
      </c>
      <c r="J335" t="str">
        <f t="shared" si="20"/>
        <v>Senior (60+)</v>
      </c>
      <c r="K335" t="str">
        <f t="shared" si="21"/>
        <v>Low (&lt;3k)</v>
      </c>
      <c r="L335" t="str">
        <f t="shared" si="22"/>
        <v>Long (8+ days)</v>
      </c>
      <c r="M335" t="str">
        <f t="shared" si="23"/>
        <v>Excellent</v>
      </c>
    </row>
    <row r="336" spans="1:13">
      <c r="A336" t="s">
        <v>371</v>
      </c>
      <c r="B336" t="s">
        <v>53</v>
      </c>
      <c r="C336" t="s">
        <v>30</v>
      </c>
      <c r="D336" t="s">
        <v>64</v>
      </c>
      <c r="E336" t="s">
        <v>21</v>
      </c>
      <c r="F336" s="2">
        <v>53</v>
      </c>
      <c r="G336" s="3">
        <v>1374</v>
      </c>
      <c r="H336" s="2">
        <v>5</v>
      </c>
      <c r="I336" s="2">
        <v>97</v>
      </c>
      <c r="J336" t="str">
        <f t="shared" si="20"/>
        <v>Adult (36-59)</v>
      </c>
      <c r="K336" t="str">
        <f t="shared" si="21"/>
        <v>Low (&lt;3k)</v>
      </c>
      <c r="L336" t="str">
        <f t="shared" si="22"/>
        <v>Medium (4-7 days)</v>
      </c>
      <c r="M336" t="str">
        <f t="shared" si="23"/>
        <v>Excellent</v>
      </c>
    </row>
    <row r="337" spans="1:13">
      <c r="A337" t="s">
        <v>372</v>
      </c>
      <c r="B337" t="s">
        <v>26</v>
      </c>
      <c r="C337" t="s">
        <v>15</v>
      </c>
      <c r="D337" t="s">
        <v>31</v>
      </c>
      <c r="E337" t="s">
        <v>17</v>
      </c>
      <c r="F337" s="2">
        <v>75</v>
      </c>
      <c r="G337" s="3">
        <v>14488</v>
      </c>
      <c r="H337" s="2">
        <v>11</v>
      </c>
      <c r="I337" s="2">
        <v>68</v>
      </c>
      <c r="J337" t="str">
        <f t="shared" si="20"/>
        <v>Senior (60+)</v>
      </c>
      <c r="K337" t="str">
        <f t="shared" si="21"/>
        <v>High (&gt;8k)</v>
      </c>
      <c r="L337" t="str">
        <f t="shared" si="22"/>
        <v>Long (8+ days)</v>
      </c>
      <c r="M337" t="str">
        <f t="shared" si="23"/>
        <v>Needs Attention</v>
      </c>
    </row>
    <row r="338" spans="1:13">
      <c r="A338" t="s">
        <v>373</v>
      </c>
      <c r="B338" t="s">
        <v>26</v>
      </c>
      <c r="C338" t="s">
        <v>44</v>
      </c>
      <c r="D338" t="s">
        <v>33</v>
      </c>
      <c r="E338" t="s">
        <v>21</v>
      </c>
      <c r="F338" s="2">
        <v>73</v>
      </c>
      <c r="G338" s="3">
        <v>2513</v>
      </c>
      <c r="H338" s="2">
        <v>4</v>
      </c>
      <c r="I338" s="2">
        <v>85</v>
      </c>
      <c r="J338" t="str">
        <f t="shared" si="20"/>
        <v>Senior (60+)</v>
      </c>
      <c r="K338" t="str">
        <f t="shared" si="21"/>
        <v>Low (&lt;3k)</v>
      </c>
      <c r="L338" t="str">
        <f t="shared" si="22"/>
        <v>Medium (4-7 days)</v>
      </c>
      <c r="M338" t="str">
        <f t="shared" si="23"/>
        <v>Excellent</v>
      </c>
    </row>
    <row r="339" spans="1:13">
      <c r="A339" t="s">
        <v>374</v>
      </c>
      <c r="B339" t="s">
        <v>14</v>
      </c>
      <c r="C339" t="s">
        <v>30</v>
      </c>
      <c r="D339" t="s">
        <v>31</v>
      </c>
      <c r="E339" t="s">
        <v>17</v>
      </c>
      <c r="F339" s="2">
        <v>63</v>
      </c>
      <c r="G339" s="3">
        <v>6927</v>
      </c>
      <c r="H339" s="2">
        <v>9</v>
      </c>
      <c r="I339" s="2">
        <v>79</v>
      </c>
      <c r="J339" t="str">
        <f t="shared" si="20"/>
        <v>Senior (60+)</v>
      </c>
      <c r="K339" t="str">
        <f t="shared" si="21"/>
        <v>Medium (3k-8k)</v>
      </c>
      <c r="L339" t="str">
        <f t="shared" si="22"/>
        <v>Long (8+ days)</v>
      </c>
      <c r="M339" t="str">
        <f t="shared" si="23"/>
        <v>Good</v>
      </c>
    </row>
    <row r="340" spans="1:13">
      <c r="A340" t="s">
        <v>375</v>
      </c>
      <c r="B340" t="s">
        <v>26</v>
      </c>
      <c r="C340" t="s">
        <v>30</v>
      </c>
      <c r="D340" t="s">
        <v>46</v>
      </c>
      <c r="E340" t="s">
        <v>21</v>
      </c>
      <c r="F340" s="2">
        <v>70</v>
      </c>
      <c r="G340" s="3">
        <v>5000</v>
      </c>
      <c r="H340" s="2">
        <v>4</v>
      </c>
      <c r="I340" s="2">
        <v>84</v>
      </c>
      <c r="J340" t="str">
        <f t="shared" si="20"/>
        <v>Senior (60+)</v>
      </c>
      <c r="K340" t="str">
        <f t="shared" si="21"/>
        <v>Medium (3k-8k)</v>
      </c>
      <c r="L340" t="str">
        <f t="shared" si="22"/>
        <v>Medium (4-7 days)</v>
      </c>
      <c r="M340" t="str">
        <f t="shared" si="23"/>
        <v>Good</v>
      </c>
    </row>
    <row r="341" spans="1:13">
      <c r="A341" t="s">
        <v>376</v>
      </c>
      <c r="B341" t="s">
        <v>14</v>
      </c>
      <c r="C341" t="s">
        <v>15</v>
      </c>
      <c r="D341" t="s">
        <v>24</v>
      </c>
      <c r="E341" t="s">
        <v>21</v>
      </c>
      <c r="F341" s="2">
        <v>10</v>
      </c>
      <c r="G341" s="3">
        <v>18402</v>
      </c>
      <c r="H341" s="2">
        <v>15</v>
      </c>
      <c r="I341" s="2">
        <v>53</v>
      </c>
      <c r="J341" t="str">
        <f t="shared" si="20"/>
        <v>Child (0-12)</v>
      </c>
      <c r="K341" t="str">
        <f t="shared" si="21"/>
        <v>High (&gt;8k)</v>
      </c>
      <c r="L341" t="str">
        <f t="shared" si="22"/>
        <v>Long (8+ days)</v>
      </c>
      <c r="M341" t="str">
        <f t="shared" si="23"/>
        <v>Needs Attention</v>
      </c>
    </row>
    <row r="342" spans="1:13">
      <c r="A342" t="s">
        <v>377</v>
      </c>
      <c r="B342" t="s">
        <v>53</v>
      </c>
      <c r="C342" t="s">
        <v>15</v>
      </c>
      <c r="D342" t="s">
        <v>51</v>
      </c>
      <c r="E342" t="s">
        <v>21</v>
      </c>
      <c r="F342" s="2">
        <v>81</v>
      </c>
      <c r="G342" s="3">
        <v>8791</v>
      </c>
      <c r="H342" s="2">
        <v>6</v>
      </c>
      <c r="I342" s="2">
        <v>95</v>
      </c>
      <c r="J342" t="str">
        <f t="shared" si="20"/>
        <v>Senior (60+)</v>
      </c>
      <c r="K342" t="str">
        <f t="shared" si="21"/>
        <v>High (&gt;8k)</v>
      </c>
      <c r="L342" t="str">
        <f t="shared" si="22"/>
        <v>Medium (4-7 days)</v>
      </c>
      <c r="M342" t="str">
        <f t="shared" si="23"/>
        <v>Excellent</v>
      </c>
    </row>
    <row r="343" spans="1:13">
      <c r="A343" t="s">
        <v>378</v>
      </c>
      <c r="B343" t="s">
        <v>26</v>
      </c>
      <c r="C343" t="s">
        <v>15</v>
      </c>
      <c r="D343" t="s">
        <v>64</v>
      </c>
      <c r="E343" t="s">
        <v>17</v>
      </c>
      <c r="F343" s="2">
        <v>48</v>
      </c>
      <c r="G343" s="3">
        <v>5990</v>
      </c>
      <c r="H343" s="2">
        <v>14</v>
      </c>
      <c r="I343" s="2">
        <v>90</v>
      </c>
      <c r="J343" t="str">
        <f t="shared" si="20"/>
        <v>Adult (36-59)</v>
      </c>
      <c r="K343" t="str">
        <f t="shared" si="21"/>
        <v>Medium (3k-8k)</v>
      </c>
      <c r="L343" t="str">
        <f t="shared" si="22"/>
        <v>Long (8+ days)</v>
      </c>
      <c r="M343" t="str">
        <f t="shared" si="23"/>
        <v>Excellent</v>
      </c>
    </row>
    <row r="344" spans="1:13">
      <c r="A344" t="s">
        <v>379</v>
      </c>
      <c r="B344" t="s">
        <v>14</v>
      </c>
      <c r="C344" t="s">
        <v>27</v>
      </c>
      <c r="D344" t="s">
        <v>38</v>
      </c>
      <c r="E344" t="s">
        <v>21</v>
      </c>
      <c r="F344" s="2">
        <v>69</v>
      </c>
      <c r="G344" s="3">
        <v>1329</v>
      </c>
      <c r="H344" s="2">
        <v>2</v>
      </c>
      <c r="I344" s="2">
        <v>50</v>
      </c>
      <c r="J344" t="str">
        <f t="shared" si="20"/>
        <v>Senior (60+)</v>
      </c>
      <c r="K344" t="str">
        <f t="shared" si="21"/>
        <v>Low (&lt;3k)</v>
      </c>
      <c r="L344" t="str">
        <f t="shared" si="22"/>
        <v>Short (1-3 days)</v>
      </c>
      <c r="M344" t="str">
        <f t="shared" si="23"/>
        <v>Needs Attention</v>
      </c>
    </row>
    <row r="345" spans="1:13">
      <c r="A345" t="s">
        <v>380</v>
      </c>
      <c r="B345" t="s">
        <v>19</v>
      </c>
      <c r="C345" t="s">
        <v>30</v>
      </c>
      <c r="D345" t="s">
        <v>24</v>
      </c>
      <c r="E345" t="s">
        <v>17</v>
      </c>
      <c r="F345" s="2">
        <v>3</v>
      </c>
      <c r="G345" s="3">
        <v>5114</v>
      </c>
      <c r="H345" s="2">
        <v>8</v>
      </c>
      <c r="I345" s="2">
        <v>61</v>
      </c>
      <c r="J345" t="str">
        <f t="shared" si="20"/>
        <v>Child (0-12)</v>
      </c>
      <c r="K345" t="str">
        <f t="shared" si="21"/>
        <v>Medium (3k-8k)</v>
      </c>
      <c r="L345" t="str">
        <f t="shared" si="22"/>
        <v>Long (8+ days)</v>
      </c>
      <c r="M345" t="str">
        <f t="shared" si="23"/>
        <v>Needs Attention</v>
      </c>
    </row>
    <row r="346" spans="1:13">
      <c r="A346" t="s">
        <v>381</v>
      </c>
      <c r="B346" t="s">
        <v>19</v>
      </c>
      <c r="C346" t="s">
        <v>15</v>
      </c>
      <c r="D346" t="s">
        <v>24</v>
      </c>
      <c r="E346" t="s">
        <v>21</v>
      </c>
      <c r="F346" s="2">
        <v>25</v>
      </c>
      <c r="G346" s="3">
        <v>15154</v>
      </c>
      <c r="H346" s="2">
        <v>13</v>
      </c>
      <c r="I346" s="2">
        <v>66</v>
      </c>
      <c r="J346" t="str">
        <f t="shared" si="20"/>
        <v>Young Adult (20-35)</v>
      </c>
      <c r="K346" t="str">
        <f t="shared" si="21"/>
        <v>High (&gt;8k)</v>
      </c>
      <c r="L346" t="str">
        <f t="shared" si="22"/>
        <v>Long (8+ days)</v>
      </c>
      <c r="M346" t="str">
        <f t="shared" si="23"/>
        <v>Needs Attention</v>
      </c>
    </row>
    <row r="347" spans="1:13">
      <c r="A347" t="s">
        <v>382</v>
      </c>
      <c r="B347" t="s">
        <v>53</v>
      </c>
      <c r="C347" t="s">
        <v>30</v>
      </c>
      <c r="D347" t="s">
        <v>31</v>
      </c>
      <c r="E347" t="s">
        <v>17</v>
      </c>
      <c r="F347" s="2">
        <v>11</v>
      </c>
      <c r="G347" s="3">
        <v>4056</v>
      </c>
      <c r="H347" s="2">
        <v>8</v>
      </c>
      <c r="I347" s="2">
        <v>79</v>
      </c>
      <c r="J347" t="str">
        <f t="shared" si="20"/>
        <v>Child (0-12)</v>
      </c>
      <c r="K347" t="str">
        <f t="shared" si="21"/>
        <v>Medium (3k-8k)</v>
      </c>
      <c r="L347" t="str">
        <f t="shared" si="22"/>
        <v>Long (8+ days)</v>
      </c>
      <c r="M347" t="str">
        <f t="shared" si="23"/>
        <v>Good</v>
      </c>
    </row>
    <row r="348" spans="1:13">
      <c r="A348" t="s">
        <v>383</v>
      </c>
      <c r="B348" t="s">
        <v>23</v>
      </c>
      <c r="C348" t="s">
        <v>44</v>
      </c>
      <c r="D348" t="s">
        <v>64</v>
      </c>
      <c r="E348" t="s">
        <v>21</v>
      </c>
      <c r="F348" s="2">
        <v>11</v>
      </c>
      <c r="G348" s="3">
        <v>759</v>
      </c>
      <c r="H348" s="2">
        <v>1</v>
      </c>
      <c r="I348" s="2">
        <v>75</v>
      </c>
      <c r="J348" t="str">
        <f t="shared" si="20"/>
        <v>Child (0-12)</v>
      </c>
      <c r="K348" t="str">
        <f t="shared" si="21"/>
        <v>Low (&lt;3k)</v>
      </c>
      <c r="L348" t="str">
        <f t="shared" si="22"/>
        <v>Short (1-3 days)</v>
      </c>
      <c r="M348" t="str">
        <f t="shared" si="23"/>
        <v>Good</v>
      </c>
    </row>
    <row r="349" spans="1:13">
      <c r="A349" t="s">
        <v>384</v>
      </c>
      <c r="B349" t="s">
        <v>29</v>
      </c>
      <c r="C349" t="s">
        <v>27</v>
      </c>
      <c r="D349" t="s">
        <v>24</v>
      </c>
      <c r="E349" t="s">
        <v>21</v>
      </c>
      <c r="F349" s="2">
        <v>82</v>
      </c>
      <c r="G349" s="3">
        <v>219</v>
      </c>
      <c r="H349" s="2">
        <v>3</v>
      </c>
      <c r="I349" s="2">
        <v>60</v>
      </c>
      <c r="J349" t="str">
        <f t="shared" si="20"/>
        <v>Senior (60+)</v>
      </c>
      <c r="K349" t="str">
        <f t="shared" si="21"/>
        <v>Low (&lt;3k)</v>
      </c>
      <c r="L349" t="str">
        <f t="shared" si="22"/>
        <v>Short (1-3 days)</v>
      </c>
      <c r="M349" t="str">
        <f t="shared" si="23"/>
        <v>Needs Attention</v>
      </c>
    </row>
    <row r="350" spans="1:13">
      <c r="A350" t="s">
        <v>385</v>
      </c>
      <c r="B350" t="s">
        <v>19</v>
      </c>
      <c r="C350" t="s">
        <v>27</v>
      </c>
      <c r="D350" t="s">
        <v>51</v>
      </c>
      <c r="E350" t="s">
        <v>17</v>
      </c>
      <c r="F350" s="2">
        <v>43</v>
      </c>
      <c r="G350" s="3">
        <v>1358</v>
      </c>
      <c r="H350" s="2">
        <v>1</v>
      </c>
      <c r="I350" s="2">
        <v>83</v>
      </c>
      <c r="J350" t="str">
        <f t="shared" si="20"/>
        <v>Adult (36-59)</v>
      </c>
      <c r="K350" t="str">
        <f t="shared" si="21"/>
        <v>Low (&lt;3k)</v>
      </c>
      <c r="L350" t="str">
        <f t="shared" si="22"/>
        <v>Short (1-3 days)</v>
      </c>
      <c r="M350" t="str">
        <f t="shared" si="23"/>
        <v>Good</v>
      </c>
    </row>
    <row r="351" spans="1:13">
      <c r="A351" t="s">
        <v>386</v>
      </c>
      <c r="B351" t="s">
        <v>19</v>
      </c>
      <c r="C351" t="s">
        <v>44</v>
      </c>
      <c r="D351" t="s">
        <v>64</v>
      </c>
      <c r="E351" t="s">
        <v>17</v>
      </c>
      <c r="F351" s="2">
        <v>89</v>
      </c>
      <c r="G351" s="3">
        <v>4395</v>
      </c>
      <c r="H351" s="2">
        <v>3</v>
      </c>
      <c r="I351" s="2">
        <v>52</v>
      </c>
      <c r="J351" t="str">
        <f t="shared" si="20"/>
        <v>Senior (60+)</v>
      </c>
      <c r="K351" t="str">
        <f t="shared" si="21"/>
        <v>Medium (3k-8k)</v>
      </c>
      <c r="L351" t="str">
        <f t="shared" si="22"/>
        <v>Short (1-3 days)</v>
      </c>
      <c r="M351" t="str">
        <f t="shared" si="23"/>
        <v>Needs Attention</v>
      </c>
    </row>
    <row r="352" spans="1:13">
      <c r="A352" t="s">
        <v>387</v>
      </c>
      <c r="B352" t="s">
        <v>19</v>
      </c>
      <c r="C352" t="s">
        <v>30</v>
      </c>
      <c r="D352" t="s">
        <v>24</v>
      </c>
      <c r="E352" t="s">
        <v>17</v>
      </c>
      <c r="F352" s="2">
        <v>5</v>
      </c>
      <c r="G352" s="3">
        <v>2469</v>
      </c>
      <c r="H352" s="2">
        <v>7</v>
      </c>
      <c r="I352" s="2">
        <v>51</v>
      </c>
      <c r="J352" t="str">
        <f t="shared" si="20"/>
        <v>Child (0-12)</v>
      </c>
      <c r="K352" t="str">
        <f t="shared" si="21"/>
        <v>Low (&lt;3k)</v>
      </c>
      <c r="L352" t="str">
        <f t="shared" si="22"/>
        <v>Medium (4-7 days)</v>
      </c>
      <c r="M352" t="str">
        <f t="shared" si="23"/>
        <v>Needs Attention</v>
      </c>
    </row>
    <row r="353" spans="1:13">
      <c r="A353" t="s">
        <v>388</v>
      </c>
      <c r="B353" t="s">
        <v>26</v>
      </c>
      <c r="C353" t="s">
        <v>44</v>
      </c>
      <c r="D353" t="s">
        <v>51</v>
      </c>
      <c r="E353" t="s">
        <v>17</v>
      </c>
      <c r="F353" s="2">
        <v>39</v>
      </c>
      <c r="G353" s="3">
        <v>1830</v>
      </c>
      <c r="H353" s="2">
        <v>5</v>
      </c>
      <c r="I353" s="2">
        <v>65</v>
      </c>
      <c r="J353" t="str">
        <f t="shared" si="20"/>
        <v>Adult (36-59)</v>
      </c>
      <c r="K353" t="str">
        <f t="shared" si="21"/>
        <v>Low (&lt;3k)</v>
      </c>
      <c r="L353" t="str">
        <f t="shared" si="22"/>
        <v>Medium (4-7 days)</v>
      </c>
      <c r="M353" t="str">
        <f t="shared" si="23"/>
        <v>Needs Attention</v>
      </c>
    </row>
    <row r="354" spans="1:13">
      <c r="A354" t="s">
        <v>389</v>
      </c>
      <c r="B354" t="s">
        <v>23</v>
      </c>
      <c r="C354" t="s">
        <v>27</v>
      </c>
      <c r="D354" t="s">
        <v>24</v>
      </c>
      <c r="E354" t="s">
        <v>21</v>
      </c>
      <c r="F354" s="2">
        <v>18</v>
      </c>
      <c r="G354" s="3">
        <v>1818</v>
      </c>
      <c r="H354" s="2">
        <v>3</v>
      </c>
      <c r="I354" s="2">
        <v>96</v>
      </c>
      <c r="J354" t="str">
        <f t="shared" si="20"/>
        <v>Teen (13-19)</v>
      </c>
      <c r="K354" t="str">
        <f t="shared" si="21"/>
        <v>Low (&lt;3k)</v>
      </c>
      <c r="L354" t="str">
        <f t="shared" si="22"/>
        <v>Short (1-3 days)</v>
      </c>
      <c r="M354" t="str">
        <f t="shared" si="23"/>
        <v>Excellent</v>
      </c>
    </row>
    <row r="355" spans="1:13">
      <c r="A355" t="s">
        <v>390</v>
      </c>
      <c r="B355" t="s">
        <v>19</v>
      </c>
      <c r="C355" t="s">
        <v>30</v>
      </c>
      <c r="D355" t="s">
        <v>16</v>
      </c>
      <c r="E355" t="s">
        <v>21</v>
      </c>
      <c r="F355" s="2">
        <v>30</v>
      </c>
      <c r="G355" s="3">
        <v>1622</v>
      </c>
      <c r="H355" s="2">
        <v>7</v>
      </c>
      <c r="I355" s="2">
        <v>88</v>
      </c>
      <c r="J355" t="str">
        <f t="shared" si="20"/>
        <v>Young Adult (20-35)</v>
      </c>
      <c r="K355" t="str">
        <f t="shared" si="21"/>
        <v>Low (&lt;3k)</v>
      </c>
      <c r="L355" t="str">
        <f t="shared" si="22"/>
        <v>Medium (4-7 days)</v>
      </c>
      <c r="M355" t="str">
        <f t="shared" si="23"/>
        <v>Excellent</v>
      </c>
    </row>
    <row r="356" spans="1:13">
      <c r="A356" t="s">
        <v>391</v>
      </c>
      <c r="B356" t="s">
        <v>53</v>
      </c>
      <c r="C356" t="s">
        <v>27</v>
      </c>
      <c r="D356" t="s">
        <v>33</v>
      </c>
      <c r="E356" t="s">
        <v>21</v>
      </c>
      <c r="F356" s="2">
        <v>35</v>
      </c>
      <c r="G356" s="3">
        <v>1804</v>
      </c>
      <c r="H356" s="2">
        <v>2</v>
      </c>
      <c r="I356" s="2">
        <v>81</v>
      </c>
      <c r="J356" t="str">
        <f t="shared" si="20"/>
        <v>Young Adult (20-35)</v>
      </c>
      <c r="K356" t="str">
        <f t="shared" si="21"/>
        <v>Low (&lt;3k)</v>
      </c>
      <c r="L356" t="str">
        <f t="shared" si="22"/>
        <v>Short (1-3 days)</v>
      </c>
      <c r="M356" t="str">
        <f t="shared" si="23"/>
        <v>Good</v>
      </c>
    </row>
    <row r="357" spans="1:13">
      <c r="A357" t="s">
        <v>392</v>
      </c>
      <c r="B357" t="s">
        <v>26</v>
      </c>
      <c r="C357" t="s">
        <v>30</v>
      </c>
      <c r="D357" t="s">
        <v>24</v>
      </c>
      <c r="E357" t="s">
        <v>17</v>
      </c>
      <c r="F357" s="2">
        <v>56</v>
      </c>
      <c r="G357" s="3">
        <v>2521</v>
      </c>
      <c r="H357" s="2">
        <v>8</v>
      </c>
      <c r="I357" s="2">
        <v>55</v>
      </c>
      <c r="J357" t="str">
        <f t="shared" si="20"/>
        <v>Adult (36-59)</v>
      </c>
      <c r="K357" t="str">
        <f t="shared" si="21"/>
        <v>Low (&lt;3k)</v>
      </c>
      <c r="L357" t="str">
        <f t="shared" si="22"/>
        <v>Long (8+ days)</v>
      </c>
      <c r="M357" t="str">
        <f t="shared" si="23"/>
        <v>Needs Attention</v>
      </c>
    </row>
    <row r="358" spans="1:13">
      <c r="A358" t="s">
        <v>393</v>
      </c>
      <c r="B358" t="s">
        <v>53</v>
      </c>
      <c r="C358" t="s">
        <v>30</v>
      </c>
      <c r="D358" t="s">
        <v>64</v>
      </c>
      <c r="E358" t="s">
        <v>17</v>
      </c>
      <c r="F358" s="2">
        <v>11</v>
      </c>
      <c r="G358" s="3">
        <v>3195</v>
      </c>
      <c r="H358" s="2">
        <v>4</v>
      </c>
      <c r="I358" s="2">
        <v>74</v>
      </c>
      <c r="J358" t="str">
        <f t="shared" si="20"/>
        <v>Child (0-12)</v>
      </c>
      <c r="K358" t="str">
        <f t="shared" si="21"/>
        <v>Medium (3k-8k)</v>
      </c>
      <c r="L358" t="str">
        <f t="shared" si="22"/>
        <v>Medium (4-7 days)</v>
      </c>
      <c r="M358" t="str">
        <f t="shared" si="23"/>
        <v>Good</v>
      </c>
    </row>
    <row r="359" spans="1:13">
      <c r="A359" t="s">
        <v>394</v>
      </c>
      <c r="B359" t="s">
        <v>14</v>
      </c>
      <c r="C359" t="s">
        <v>44</v>
      </c>
      <c r="D359" t="s">
        <v>51</v>
      </c>
      <c r="E359" t="s">
        <v>21</v>
      </c>
      <c r="F359" s="2">
        <v>14</v>
      </c>
      <c r="G359" s="3">
        <v>1249</v>
      </c>
      <c r="H359" s="2">
        <v>1</v>
      </c>
      <c r="I359" s="2">
        <v>69</v>
      </c>
      <c r="J359" t="str">
        <f t="shared" si="20"/>
        <v>Teen (13-19)</v>
      </c>
      <c r="K359" t="str">
        <f t="shared" si="21"/>
        <v>Low (&lt;3k)</v>
      </c>
      <c r="L359" t="str">
        <f t="shared" si="22"/>
        <v>Short (1-3 days)</v>
      </c>
      <c r="M359" t="str">
        <f t="shared" si="23"/>
        <v>Needs Attention</v>
      </c>
    </row>
    <row r="360" spans="1:13">
      <c r="A360" t="s">
        <v>395</v>
      </c>
      <c r="B360" t="s">
        <v>29</v>
      </c>
      <c r="C360" t="s">
        <v>30</v>
      </c>
      <c r="D360" t="s">
        <v>31</v>
      </c>
      <c r="E360" t="s">
        <v>21</v>
      </c>
      <c r="F360" s="2">
        <v>12</v>
      </c>
      <c r="G360" s="3">
        <v>2535</v>
      </c>
      <c r="H360" s="2">
        <v>8</v>
      </c>
      <c r="I360" s="2">
        <v>78</v>
      </c>
      <c r="J360" t="str">
        <f t="shared" si="20"/>
        <v>Child (0-12)</v>
      </c>
      <c r="K360" t="str">
        <f t="shared" si="21"/>
        <v>Low (&lt;3k)</v>
      </c>
      <c r="L360" t="str">
        <f t="shared" si="22"/>
        <v>Long (8+ days)</v>
      </c>
      <c r="M360" t="str">
        <f t="shared" si="23"/>
        <v>Good</v>
      </c>
    </row>
    <row r="361" spans="1:13">
      <c r="A361" t="s">
        <v>396</v>
      </c>
      <c r="B361" t="s">
        <v>23</v>
      </c>
      <c r="C361" t="s">
        <v>27</v>
      </c>
      <c r="D361" t="s">
        <v>35</v>
      </c>
      <c r="E361" t="s">
        <v>21</v>
      </c>
      <c r="F361" s="2">
        <v>46</v>
      </c>
      <c r="G361" s="3">
        <v>1335</v>
      </c>
      <c r="H361" s="2">
        <v>1</v>
      </c>
      <c r="I361" s="2">
        <v>88</v>
      </c>
      <c r="J361" t="str">
        <f t="shared" si="20"/>
        <v>Adult (36-59)</v>
      </c>
      <c r="K361" t="str">
        <f t="shared" si="21"/>
        <v>Low (&lt;3k)</v>
      </c>
      <c r="L361" t="str">
        <f t="shared" si="22"/>
        <v>Short (1-3 days)</v>
      </c>
      <c r="M361" t="str">
        <f t="shared" si="23"/>
        <v>Excellent</v>
      </c>
    </row>
    <row r="362" spans="1:13">
      <c r="A362" t="s">
        <v>397</v>
      </c>
      <c r="B362" t="s">
        <v>23</v>
      </c>
      <c r="C362" t="s">
        <v>30</v>
      </c>
      <c r="D362" t="s">
        <v>51</v>
      </c>
      <c r="E362" t="s">
        <v>21</v>
      </c>
      <c r="F362" s="2">
        <v>53</v>
      </c>
      <c r="G362" s="3">
        <v>4176</v>
      </c>
      <c r="H362" s="2">
        <v>3</v>
      </c>
      <c r="I362" s="2">
        <v>96</v>
      </c>
      <c r="J362" t="str">
        <f t="shared" si="20"/>
        <v>Adult (36-59)</v>
      </c>
      <c r="K362" t="str">
        <f t="shared" si="21"/>
        <v>Medium (3k-8k)</v>
      </c>
      <c r="L362" t="str">
        <f t="shared" si="22"/>
        <v>Short (1-3 days)</v>
      </c>
      <c r="M362" t="str">
        <f t="shared" si="23"/>
        <v>Excellent</v>
      </c>
    </row>
    <row r="363" spans="1:13">
      <c r="A363" t="s">
        <v>398</v>
      </c>
      <c r="B363" t="s">
        <v>23</v>
      </c>
      <c r="C363" t="s">
        <v>44</v>
      </c>
      <c r="D363" t="s">
        <v>20</v>
      </c>
      <c r="E363" t="s">
        <v>17</v>
      </c>
      <c r="F363" s="2">
        <v>88</v>
      </c>
      <c r="G363" s="3">
        <v>3618</v>
      </c>
      <c r="H363" s="2">
        <v>2</v>
      </c>
      <c r="I363" s="2">
        <v>58</v>
      </c>
      <c r="J363" t="str">
        <f t="shared" si="20"/>
        <v>Senior (60+)</v>
      </c>
      <c r="K363" t="str">
        <f t="shared" si="21"/>
        <v>Medium (3k-8k)</v>
      </c>
      <c r="L363" t="str">
        <f t="shared" si="22"/>
        <v>Short (1-3 days)</v>
      </c>
      <c r="M363" t="str">
        <f t="shared" si="23"/>
        <v>Needs Attention</v>
      </c>
    </row>
    <row r="364" spans="1:13">
      <c r="A364" t="s">
        <v>399</v>
      </c>
      <c r="B364" t="s">
        <v>48</v>
      </c>
      <c r="C364" t="s">
        <v>30</v>
      </c>
      <c r="D364" t="s">
        <v>31</v>
      </c>
      <c r="E364" t="s">
        <v>17</v>
      </c>
      <c r="F364" s="2">
        <v>9</v>
      </c>
      <c r="G364" s="3">
        <v>2369</v>
      </c>
      <c r="H364" s="2">
        <v>8</v>
      </c>
      <c r="I364" s="2">
        <v>67</v>
      </c>
      <c r="J364" t="str">
        <f t="shared" si="20"/>
        <v>Child (0-12)</v>
      </c>
      <c r="K364" t="str">
        <f t="shared" si="21"/>
        <v>Low (&lt;3k)</v>
      </c>
      <c r="L364" t="str">
        <f t="shared" si="22"/>
        <v>Long (8+ days)</v>
      </c>
      <c r="M364" t="str">
        <f t="shared" si="23"/>
        <v>Needs Attention</v>
      </c>
    </row>
    <row r="365" spans="1:13">
      <c r="A365" t="s">
        <v>400</v>
      </c>
      <c r="B365" t="s">
        <v>29</v>
      </c>
      <c r="C365" t="s">
        <v>30</v>
      </c>
      <c r="D365" t="s">
        <v>38</v>
      </c>
      <c r="E365" t="s">
        <v>17</v>
      </c>
      <c r="F365" s="2">
        <v>47</v>
      </c>
      <c r="G365" s="3">
        <v>3061</v>
      </c>
      <c r="H365" s="2">
        <v>5</v>
      </c>
      <c r="I365" s="2">
        <v>96</v>
      </c>
      <c r="J365" t="str">
        <f t="shared" si="20"/>
        <v>Adult (36-59)</v>
      </c>
      <c r="K365" t="str">
        <f t="shared" si="21"/>
        <v>Medium (3k-8k)</v>
      </c>
      <c r="L365" t="str">
        <f t="shared" si="22"/>
        <v>Medium (4-7 days)</v>
      </c>
      <c r="M365" t="str">
        <f t="shared" si="23"/>
        <v>Excellent</v>
      </c>
    </row>
    <row r="366" spans="1:13">
      <c r="A366" t="s">
        <v>401</v>
      </c>
      <c r="B366" t="s">
        <v>14</v>
      </c>
      <c r="C366" t="s">
        <v>27</v>
      </c>
      <c r="D366" t="s">
        <v>20</v>
      </c>
      <c r="E366" t="s">
        <v>17</v>
      </c>
      <c r="F366" s="2">
        <v>59</v>
      </c>
      <c r="G366" s="3">
        <v>419</v>
      </c>
      <c r="H366" s="2">
        <v>1</v>
      </c>
      <c r="I366" s="2">
        <v>69</v>
      </c>
      <c r="J366" t="str">
        <f t="shared" si="20"/>
        <v>Adult (36-59)</v>
      </c>
      <c r="K366" t="str">
        <f t="shared" si="21"/>
        <v>Low (&lt;3k)</v>
      </c>
      <c r="L366" t="str">
        <f t="shared" si="22"/>
        <v>Short (1-3 days)</v>
      </c>
      <c r="M366" t="str">
        <f t="shared" si="23"/>
        <v>Needs Attention</v>
      </c>
    </row>
    <row r="367" spans="1:13">
      <c r="A367" t="s">
        <v>402</v>
      </c>
      <c r="B367" t="s">
        <v>19</v>
      </c>
      <c r="C367" t="s">
        <v>27</v>
      </c>
      <c r="D367" t="s">
        <v>33</v>
      </c>
      <c r="E367" t="s">
        <v>17</v>
      </c>
      <c r="F367" s="2">
        <v>49</v>
      </c>
      <c r="G367" s="3">
        <v>1846</v>
      </c>
      <c r="H367" s="2">
        <v>2</v>
      </c>
      <c r="I367" s="2">
        <v>78</v>
      </c>
      <c r="J367" t="str">
        <f t="shared" si="20"/>
        <v>Adult (36-59)</v>
      </c>
      <c r="K367" t="str">
        <f t="shared" si="21"/>
        <v>Low (&lt;3k)</v>
      </c>
      <c r="L367" t="str">
        <f t="shared" si="22"/>
        <v>Short (1-3 days)</v>
      </c>
      <c r="M367" t="str">
        <f t="shared" si="23"/>
        <v>Good</v>
      </c>
    </row>
    <row r="368" spans="1:13">
      <c r="A368" t="s">
        <v>403</v>
      </c>
      <c r="B368" t="s">
        <v>48</v>
      </c>
      <c r="C368" t="s">
        <v>27</v>
      </c>
      <c r="D368" t="s">
        <v>20</v>
      </c>
      <c r="E368" t="s">
        <v>21</v>
      </c>
      <c r="F368" s="2">
        <v>42</v>
      </c>
      <c r="G368" s="3">
        <v>1435</v>
      </c>
      <c r="H368" s="2">
        <v>3</v>
      </c>
      <c r="I368" s="2">
        <v>62</v>
      </c>
      <c r="J368" t="str">
        <f t="shared" si="20"/>
        <v>Adult (36-59)</v>
      </c>
      <c r="K368" t="str">
        <f t="shared" si="21"/>
        <v>Low (&lt;3k)</v>
      </c>
      <c r="L368" t="str">
        <f t="shared" si="22"/>
        <v>Short (1-3 days)</v>
      </c>
      <c r="M368" t="str">
        <f t="shared" si="23"/>
        <v>Needs Attention</v>
      </c>
    </row>
    <row r="369" spans="1:13">
      <c r="A369" t="s">
        <v>404</v>
      </c>
      <c r="B369" t="s">
        <v>29</v>
      </c>
      <c r="C369" t="s">
        <v>30</v>
      </c>
      <c r="D369" t="s">
        <v>46</v>
      </c>
      <c r="E369" t="s">
        <v>17</v>
      </c>
      <c r="F369" s="2">
        <v>41</v>
      </c>
      <c r="G369" s="3">
        <v>3387</v>
      </c>
      <c r="H369" s="2">
        <v>9</v>
      </c>
      <c r="I369" s="2">
        <v>86</v>
      </c>
      <c r="J369" t="str">
        <f t="shared" si="20"/>
        <v>Adult (36-59)</v>
      </c>
      <c r="K369" t="str">
        <f t="shared" si="21"/>
        <v>Medium (3k-8k)</v>
      </c>
      <c r="L369" t="str">
        <f t="shared" si="22"/>
        <v>Long (8+ days)</v>
      </c>
      <c r="M369" t="str">
        <f t="shared" si="23"/>
        <v>Excellent</v>
      </c>
    </row>
    <row r="370" spans="1:13">
      <c r="A370" t="s">
        <v>405</v>
      </c>
      <c r="B370" t="s">
        <v>53</v>
      </c>
      <c r="C370" t="s">
        <v>44</v>
      </c>
      <c r="D370" t="s">
        <v>33</v>
      </c>
      <c r="E370" t="s">
        <v>21</v>
      </c>
      <c r="F370" s="2">
        <v>51</v>
      </c>
      <c r="G370" s="3">
        <v>3490</v>
      </c>
      <c r="H370" s="2">
        <v>1</v>
      </c>
      <c r="I370" s="2">
        <v>86</v>
      </c>
      <c r="J370" t="str">
        <f t="shared" si="20"/>
        <v>Adult (36-59)</v>
      </c>
      <c r="K370" t="str">
        <f t="shared" si="21"/>
        <v>Medium (3k-8k)</v>
      </c>
      <c r="L370" t="str">
        <f t="shared" si="22"/>
        <v>Short (1-3 days)</v>
      </c>
      <c r="M370" t="str">
        <f t="shared" si="23"/>
        <v>Excellent</v>
      </c>
    </row>
    <row r="371" spans="1:13">
      <c r="A371" t="s">
        <v>406</v>
      </c>
      <c r="B371" t="s">
        <v>26</v>
      </c>
      <c r="C371" t="s">
        <v>44</v>
      </c>
      <c r="D371" t="s">
        <v>24</v>
      </c>
      <c r="E371" t="s">
        <v>21</v>
      </c>
      <c r="F371" s="2">
        <v>60</v>
      </c>
      <c r="G371" s="3">
        <v>2217</v>
      </c>
      <c r="H371" s="2">
        <v>4</v>
      </c>
      <c r="I371" s="2">
        <v>68</v>
      </c>
      <c r="J371" t="str">
        <f t="shared" si="20"/>
        <v>Senior (60+)</v>
      </c>
      <c r="K371" t="str">
        <f t="shared" si="21"/>
        <v>Low (&lt;3k)</v>
      </c>
      <c r="L371" t="str">
        <f t="shared" si="22"/>
        <v>Medium (4-7 days)</v>
      </c>
      <c r="M371" t="str">
        <f t="shared" si="23"/>
        <v>Needs Attention</v>
      </c>
    </row>
    <row r="372" spans="1:13">
      <c r="A372" t="s">
        <v>407</v>
      </c>
      <c r="B372" t="s">
        <v>53</v>
      </c>
      <c r="C372" t="s">
        <v>15</v>
      </c>
      <c r="D372" t="s">
        <v>51</v>
      </c>
      <c r="E372" t="s">
        <v>17</v>
      </c>
      <c r="F372" s="2">
        <v>18</v>
      </c>
      <c r="G372" s="3">
        <v>15376</v>
      </c>
      <c r="H372" s="2">
        <v>9</v>
      </c>
      <c r="I372" s="2">
        <v>65</v>
      </c>
      <c r="J372" t="str">
        <f t="shared" si="20"/>
        <v>Teen (13-19)</v>
      </c>
      <c r="K372" t="str">
        <f t="shared" si="21"/>
        <v>High (&gt;8k)</v>
      </c>
      <c r="L372" t="str">
        <f t="shared" si="22"/>
        <v>Long (8+ days)</v>
      </c>
      <c r="M372" t="str">
        <f t="shared" si="23"/>
        <v>Needs Attention</v>
      </c>
    </row>
    <row r="373" spans="1:13">
      <c r="A373" t="s">
        <v>408</v>
      </c>
      <c r="B373" t="s">
        <v>48</v>
      </c>
      <c r="C373" t="s">
        <v>44</v>
      </c>
      <c r="D373" t="s">
        <v>51</v>
      </c>
      <c r="E373" t="s">
        <v>17</v>
      </c>
      <c r="F373" s="2">
        <v>10</v>
      </c>
      <c r="G373" s="3">
        <v>4178</v>
      </c>
      <c r="H373" s="2">
        <v>5</v>
      </c>
      <c r="I373" s="2">
        <v>80</v>
      </c>
      <c r="J373" t="str">
        <f t="shared" si="20"/>
        <v>Child (0-12)</v>
      </c>
      <c r="K373" t="str">
        <f t="shared" si="21"/>
        <v>Medium (3k-8k)</v>
      </c>
      <c r="L373" t="str">
        <f t="shared" si="22"/>
        <v>Medium (4-7 days)</v>
      </c>
      <c r="M373" t="str">
        <f t="shared" si="23"/>
        <v>Good</v>
      </c>
    </row>
    <row r="374" spans="1:13">
      <c r="A374" t="s">
        <v>409</v>
      </c>
      <c r="B374" t="s">
        <v>23</v>
      </c>
      <c r="C374" t="s">
        <v>27</v>
      </c>
      <c r="D374" t="s">
        <v>24</v>
      </c>
      <c r="E374" t="s">
        <v>17</v>
      </c>
      <c r="F374" s="2">
        <v>89</v>
      </c>
      <c r="G374" s="3">
        <v>1056</v>
      </c>
      <c r="H374" s="2">
        <v>3</v>
      </c>
      <c r="I374" s="2">
        <v>52</v>
      </c>
      <c r="J374" t="str">
        <f t="shared" si="20"/>
        <v>Senior (60+)</v>
      </c>
      <c r="K374" t="str">
        <f t="shared" si="21"/>
        <v>Low (&lt;3k)</v>
      </c>
      <c r="L374" t="str">
        <f t="shared" si="22"/>
        <v>Short (1-3 days)</v>
      </c>
      <c r="M374" t="str">
        <f t="shared" si="23"/>
        <v>Needs Attention</v>
      </c>
    </row>
    <row r="375" spans="1:13">
      <c r="A375" t="s">
        <v>410</v>
      </c>
      <c r="B375" t="s">
        <v>53</v>
      </c>
      <c r="C375" t="s">
        <v>30</v>
      </c>
      <c r="D375" t="s">
        <v>24</v>
      </c>
      <c r="E375" t="s">
        <v>17</v>
      </c>
      <c r="F375" s="2">
        <v>11</v>
      </c>
      <c r="G375" s="3">
        <v>1895</v>
      </c>
      <c r="H375" s="2">
        <v>5</v>
      </c>
      <c r="I375" s="2">
        <v>92</v>
      </c>
      <c r="J375" t="str">
        <f t="shared" si="20"/>
        <v>Child (0-12)</v>
      </c>
      <c r="K375" t="str">
        <f t="shared" si="21"/>
        <v>Low (&lt;3k)</v>
      </c>
      <c r="L375" t="str">
        <f t="shared" si="22"/>
        <v>Medium (4-7 days)</v>
      </c>
      <c r="M375" t="str">
        <f t="shared" si="23"/>
        <v>Excellent</v>
      </c>
    </row>
    <row r="376" spans="1:13">
      <c r="A376" t="s">
        <v>411</v>
      </c>
      <c r="B376" t="s">
        <v>14</v>
      </c>
      <c r="C376" t="s">
        <v>30</v>
      </c>
      <c r="D376" t="s">
        <v>46</v>
      </c>
      <c r="E376" t="s">
        <v>17</v>
      </c>
      <c r="F376" s="2">
        <v>6</v>
      </c>
      <c r="G376" s="3">
        <v>5613</v>
      </c>
      <c r="H376" s="2">
        <v>8</v>
      </c>
      <c r="I376" s="2">
        <v>98</v>
      </c>
      <c r="J376" t="str">
        <f t="shared" si="20"/>
        <v>Child (0-12)</v>
      </c>
      <c r="K376" t="str">
        <f t="shared" si="21"/>
        <v>Medium (3k-8k)</v>
      </c>
      <c r="L376" t="str">
        <f t="shared" si="22"/>
        <v>Long (8+ days)</v>
      </c>
      <c r="M376" t="str">
        <f t="shared" si="23"/>
        <v>Excellent</v>
      </c>
    </row>
    <row r="377" spans="1:13">
      <c r="A377" t="s">
        <v>412</v>
      </c>
      <c r="B377" t="s">
        <v>48</v>
      </c>
      <c r="C377" t="s">
        <v>27</v>
      </c>
      <c r="D377" t="s">
        <v>35</v>
      </c>
      <c r="E377" t="s">
        <v>21</v>
      </c>
      <c r="F377" s="2">
        <v>34</v>
      </c>
      <c r="G377" s="3">
        <v>654</v>
      </c>
      <c r="H377" s="2">
        <v>3</v>
      </c>
      <c r="I377" s="2">
        <v>97</v>
      </c>
      <c r="J377" t="str">
        <f t="shared" si="20"/>
        <v>Young Adult (20-35)</v>
      </c>
      <c r="K377" t="str">
        <f t="shared" si="21"/>
        <v>Low (&lt;3k)</v>
      </c>
      <c r="L377" t="str">
        <f t="shared" si="22"/>
        <v>Short (1-3 days)</v>
      </c>
      <c r="M377" t="str">
        <f t="shared" si="23"/>
        <v>Excellent</v>
      </c>
    </row>
    <row r="378" spans="1:13">
      <c r="A378" t="s">
        <v>413</v>
      </c>
      <c r="B378" t="s">
        <v>23</v>
      </c>
      <c r="C378" t="s">
        <v>44</v>
      </c>
      <c r="D378" t="s">
        <v>38</v>
      </c>
      <c r="E378" t="s">
        <v>21</v>
      </c>
      <c r="F378" s="2">
        <v>60</v>
      </c>
      <c r="G378" s="3">
        <v>4599</v>
      </c>
      <c r="H378" s="2">
        <v>2</v>
      </c>
      <c r="I378" s="2">
        <v>72</v>
      </c>
      <c r="J378" t="str">
        <f t="shared" si="20"/>
        <v>Senior (60+)</v>
      </c>
      <c r="K378" t="str">
        <f t="shared" si="21"/>
        <v>Medium (3k-8k)</v>
      </c>
      <c r="L378" t="str">
        <f t="shared" si="22"/>
        <v>Short (1-3 days)</v>
      </c>
      <c r="M378" t="str">
        <f t="shared" si="23"/>
        <v>Good</v>
      </c>
    </row>
    <row r="379" spans="1:13">
      <c r="A379" t="s">
        <v>414</v>
      </c>
      <c r="B379" t="s">
        <v>19</v>
      </c>
      <c r="C379" t="s">
        <v>27</v>
      </c>
      <c r="D379" t="s">
        <v>35</v>
      </c>
      <c r="E379" t="s">
        <v>21</v>
      </c>
      <c r="F379" s="2">
        <v>11</v>
      </c>
      <c r="G379" s="3">
        <v>437</v>
      </c>
      <c r="H379" s="2">
        <v>3</v>
      </c>
      <c r="I379" s="2">
        <v>59</v>
      </c>
      <c r="J379" t="str">
        <f t="shared" si="20"/>
        <v>Child (0-12)</v>
      </c>
      <c r="K379" t="str">
        <f t="shared" si="21"/>
        <v>Low (&lt;3k)</v>
      </c>
      <c r="L379" t="str">
        <f t="shared" si="22"/>
        <v>Short (1-3 days)</v>
      </c>
      <c r="M379" t="str">
        <f t="shared" si="23"/>
        <v>Needs Attention</v>
      </c>
    </row>
    <row r="380" spans="1:13">
      <c r="A380" t="s">
        <v>415</v>
      </c>
      <c r="B380" t="s">
        <v>48</v>
      </c>
      <c r="C380" t="s">
        <v>30</v>
      </c>
      <c r="D380" t="s">
        <v>33</v>
      </c>
      <c r="E380" t="s">
        <v>21</v>
      </c>
      <c r="F380" s="2">
        <v>27</v>
      </c>
      <c r="G380" s="3">
        <v>5268</v>
      </c>
      <c r="H380" s="2">
        <v>9</v>
      </c>
      <c r="I380" s="2">
        <v>72</v>
      </c>
      <c r="J380" t="str">
        <f t="shared" si="20"/>
        <v>Young Adult (20-35)</v>
      </c>
      <c r="K380" t="str">
        <f t="shared" si="21"/>
        <v>Medium (3k-8k)</v>
      </c>
      <c r="L380" t="str">
        <f t="shared" si="22"/>
        <v>Long (8+ days)</v>
      </c>
      <c r="M380" t="str">
        <f t="shared" si="23"/>
        <v>Good</v>
      </c>
    </row>
    <row r="381" spans="1:13">
      <c r="A381" t="s">
        <v>416</v>
      </c>
      <c r="B381" t="s">
        <v>29</v>
      </c>
      <c r="C381" t="s">
        <v>15</v>
      </c>
      <c r="D381" t="s">
        <v>38</v>
      </c>
      <c r="E381" t="s">
        <v>17</v>
      </c>
      <c r="F381" s="2">
        <v>58</v>
      </c>
      <c r="G381" s="3">
        <v>10225</v>
      </c>
      <c r="H381" s="2">
        <v>6</v>
      </c>
      <c r="I381" s="2">
        <v>69</v>
      </c>
      <c r="J381" t="str">
        <f t="shared" si="20"/>
        <v>Adult (36-59)</v>
      </c>
      <c r="K381" t="str">
        <f t="shared" si="21"/>
        <v>High (&gt;8k)</v>
      </c>
      <c r="L381" t="str">
        <f t="shared" si="22"/>
        <v>Medium (4-7 days)</v>
      </c>
      <c r="M381" t="str">
        <f t="shared" si="23"/>
        <v>Needs Attention</v>
      </c>
    </row>
    <row r="382" spans="1:13">
      <c r="A382" t="s">
        <v>417</v>
      </c>
      <c r="B382" t="s">
        <v>19</v>
      </c>
      <c r="C382" t="s">
        <v>15</v>
      </c>
      <c r="D382" t="s">
        <v>16</v>
      </c>
      <c r="E382" t="s">
        <v>17</v>
      </c>
      <c r="F382" s="2">
        <v>83</v>
      </c>
      <c r="G382" s="3">
        <v>6791</v>
      </c>
      <c r="H382" s="2">
        <v>15</v>
      </c>
      <c r="I382" s="2">
        <v>60</v>
      </c>
      <c r="J382" t="str">
        <f t="shared" si="20"/>
        <v>Senior (60+)</v>
      </c>
      <c r="K382" t="str">
        <f t="shared" si="21"/>
        <v>Medium (3k-8k)</v>
      </c>
      <c r="L382" t="str">
        <f t="shared" si="22"/>
        <v>Long (8+ days)</v>
      </c>
      <c r="M382" t="str">
        <f t="shared" si="23"/>
        <v>Needs Attention</v>
      </c>
    </row>
    <row r="383" spans="1:13">
      <c r="A383" t="s">
        <v>418</v>
      </c>
      <c r="B383" t="s">
        <v>14</v>
      </c>
      <c r="C383" t="s">
        <v>44</v>
      </c>
      <c r="D383" t="s">
        <v>24</v>
      </c>
      <c r="E383" t="s">
        <v>21</v>
      </c>
      <c r="F383" s="2">
        <v>21</v>
      </c>
      <c r="G383" s="3">
        <v>3211</v>
      </c>
      <c r="H383" s="2">
        <v>5</v>
      </c>
      <c r="I383" s="2">
        <v>77</v>
      </c>
      <c r="J383" t="str">
        <f t="shared" si="20"/>
        <v>Young Adult (20-35)</v>
      </c>
      <c r="K383" t="str">
        <f t="shared" si="21"/>
        <v>Medium (3k-8k)</v>
      </c>
      <c r="L383" t="str">
        <f t="shared" si="22"/>
        <v>Medium (4-7 days)</v>
      </c>
      <c r="M383" t="str">
        <f t="shared" si="23"/>
        <v>Good</v>
      </c>
    </row>
    <row r="384" spans="1:13">
      <c r="A384" t="s">
        <v>419</v>
      </c>
      <c r="B384" t="s">
        <v>29</v>
      </c>
      <c r="C384" t="s">
        <v>44</v>
      </c>
      <c r="D384" t="s">
        <v>51</v>
      </c>
      <c r="E384" t="s">
        <v>17</v>
      </c>
      <c r="F384" s="2">
        <v>24</v>
      </c>
      <c r="G384" s="3">
        <v>4040</v>
      </c>
      <c r="H384" s="2">
        <v>4</v>
      </c>
      <c r="I384" s="2">
        <v>51</v>
      </c>
      <c r="J384" t="str">
        <f t="shared" si="20"/>
        <v>Young Adult (20-35)</v>
      </c>
      <c r="K384" t="str">
        <f t="shared" si="21"/>
        <v>Medium (3k-8k)</v>
      </c>
      <c r="L384" t="str">
        <f t="shared" si="22"/>
        <v>Medium (4-7 days)</v>
      </c>
      <c r="M384" t="str">
        <f t="shared" si="23"/>
        <v>Needs Attention</v>
      </c>
    </row>
    <row r="385" spans="1:13">
      <c r="A385" t="s">
        <v>420</v>
      </c>
      <c r="B385" t="s">
        <v>14</v>
      </c>
      <c r="C385" t="s">
        <v>44</v>
      </c>
      <c r="D385" t="s">
        <v>38</v>
      </c>
      <c r="E385" t="s">
        <v>17</v>
      </c>
      <c r="F385" s="2">
        <v>50</v>
      </c>
      <c r="G385" s="3">
        <v>536</v>
      </c>
      <c r="H385" s="2">
        <v>2</v>
      </c>
      <c r="I385" s="2">
        <v>63</v>
      </c>
      <c r="J385" t="str">
        <f t="shared" si="20"/>
        <v>Adult (36-59)</v>
      </c>
      <c r="K385" t="str">
        <f t="shared" si="21"/>
        <v>Low (&lt;3k)</v>
      </c>
      <c r="L385" t="str">
        <f t="shared" si="22"/>
        <v>Short (1-3 days)</v>
      </c>
      <c r="M385" t="str">
        <f t="shared" si="23"/>
        <v>Needs Attention</v>
      </c>
    </row>
    <row r="386" spans="1:13">
      <c r="A386" t="s">
        <v>421</v>
      </c>
      <c r="B386" t="s">
        <v>48</v>
      </c>
      <c r="C386" t="s">
        <v>15</v>
      </c>
      <c r="D386" t="s">
        <v>20</v>
      </c>
      <c r="E386" t="s">
        <v>21</v>
      </c>
      <c r="F386" s="2">
        <v>69</v>
      </c>
      <c r="G386" s="3">
        <v>8063</v>
      </c>
      <c r="H386" s="2">
        <v>10</v>
      </c>
      <c r="I386" s="2">
        <v>70</v>
      </c>
      <c r="J386" t="str">
        <f t="shared" ref="J386:J401" si="24">IF(F386&lt;=12,"Child (0-12)",IF(F386&lt;=19,"Teen (13-19)",IF(F386&lt;=35,"Young Adult (20-35)",IF(F386&lt;=59,"Adult (36-59)","Senior (60+)"))))</f>
        <v>Senior (60+)</v>
      </c>
      <c r="K386" t="str">
        <f t="shared" ref="K386:K401" si="25">IF(G386&lt;3000,"Low (&lt;3k)",IF(G386&lt;=8000,"Medium (3k-8k)","High (&gt;8k)"))</f>
        <v>High (&gt;8k)</v>
      </c>
      <c r="L386" t="str">
        <f t="shared" ref="L386:L401" si="26">IF(H386&lt;=3,"Short (1-3 days)",IF(H386&lt;=7,"Medium (4-7 days)","Long (8+ days)"))</f>
        <v>Long (8+ days)</v>
      </c>
      <c r="M386" t="str">
        <f t="shared" ref="M386:M401" si="27">IF(I386&gt;=85,"Excellent",IF(I386&gt;=70,"Good","Needs Attention"))</f>
        <v>Good</v>
      </c>
    </row>
    <row r="387" spans="1:13">
      <c r="A387" t="s">
        <v>422</v>
      </c>
      <c r="B387" t="s">
        <v>26</v>
      </c>
      <c r="C387" t="s">
        <v>27</v>
      </c>
      <c r="D387" t="s">
        <v>35</v>
      </c>
      <c r="E387" t="s">
        <v>21</v>
      </c>
      <c r="F387" s="2">
        <v>63</v>
      </c>
      <c r="G387" s="3">
        <v>1280</v>
      </c>
      <c r="H387" s="2">
        <v>3</v>
      </c>
      <c r="I387" s="2">
        <v>70</v>
      </c>
      <c r="J387" t="str">
        <f t="shared" si="24"/>
        <v>Senior (60+)</v>
      </c>
      <c r="K387" t="str">
        <f t="shared" si="25"/>
        <v>Low (&lt;3k)</v>
      </c>
      <c r="L387" t="str">
        <f t="shared" si="26"/>
        <v>Short (1-3 days)</v>
      </c>
      <c r="M387" t="str">
        <f t="shared" si="27"/>
        <v>Good</v>
      </c>
    </row>
    <row r="388" spans="1:13">
      <c r="A388" t="s">
        <v>423</v>
      </c>
      <c r="B388" t="s">
        <v>23</v>
      </c>
      <c r="C388" t="s">
        <v>27</v>
      </c>
      <c r="D388" t="s">
        <v>20</v>
      </c>
      <c r="E388" t="s">
        <v>21</v>
      </c>
      <c r="F388" s="2">
        <v>15</v>
      </c>
      <c r="G388" s="3">
        <v>912</v>
      </c>
      <c r="H388" s="2">
        <v>2</v>
      </c>
      <c r="I388" s="2">
        <v>79</v>
      </c>
      <c r="J388" t="str">
        <f t="shared" si="24"/>
        <v>Teen (13-19)</v>
      </c>
      <c r="K388" t="str">
        <f t="shared" si="25"/>
        <v>Low (&lt;3k)</v>
      </c>
      <c r="L388" t="str">
        <f t="shared" si="26"/>
        <v>Short (1-3 days)</v>
      </c>
      <c r="M388" t="str">
        <f t="shared" si="27"/>
        <v>Good</v>
      </c>
    </row>
    <row r="389" spans="1:13">
      <c r="A389" t="s">
        <v>424</v>
      </c>
      <c r="B389" t="s">
        <v>23</v>
      </c>
      <c r="C389" t="s">
        <v>44</v>
      </c>
      <c r="D389" t="s">
        <v>31</v>
      </c>
      <c r="E389" t="s">
        <v>17</v>
      </c>
      <c r="F389" s="2">
        <v>76</v>
      </c>
      <c r="G389" s="3">
        <v>1194</v>
      </c>
      <c r="H389" s="2">
        <v>2</v>
      </c>
      <c r="I389" s="2">
        <v>70</v>
      </c>
      <c r="J389" t="str">
        <f t="shared" si="24"/>
        <v>Senior (60+)</v>
      </c>
      <c r="K389" t="str">
        <f t="shared" si="25"/>
        <v>Low (&lt;3k)</v>
      </c>
      <c r="L389" t="str">
        <f t="shared" si="26"/>
        <v>Short (1-3 days)</v>
      </c>
      <c r="M389" t="str">
        <f t="shared" si="27"/>
        <v>Good</v>
      </c>
    </row>
    <row r="390" spans="1:13">
      <c r="A390" t="s">
        <v>425</v>
      </c>
      <c r="B390" t="s">
        <v>19</v>
      </c>
      <c r="C390" t="s">
        <v>44</v>
      </c>
      <c r="D390" t="s">
        <v>31</v>
      </c>
      <c r="E390" t="s">
        <v>21</v>
      </c>
      <c r="F390" s="2">
        <v>48</v>
      </c>
      <c r="G390" s="3">
        <v>1658</v>
      </c>
      <c r="H390" s="2">
        <v>5</v>
      </c>
      <c r="I390" s="2">
        <v>74</v>
      </c>
      <c r="J390" t="str">
        <f t="shared" si="24"/>
        <v>Adult (36-59)</v>
      </c>
      <c r="K390" t="str">
        <f t="shared" si="25"/>
        <v>Low (&lt;3k)</v>
      </c>
      <c r="L390" t="str">
        <f t="shared" si="26"/>
        <v>Medium (4-7 days)</v>
      </c>
      <c r="M390" t="str">
        <f t="shared" si="27"/>
        <v>Good</v>
      </c>
    </row>
    <row r="391" spans="1:13">
      <c r="A391" t="s">
        <v>426</v>
      </c>
      <c r="B391" t="s">
        <v>29</v>
      </c>
      <c r="C391" t="s">
        <v>44</v>
      </c>
      <c r="D391" t="s">
        <v>20</v>
      </c>
      <c r="E391" t="s">
        <v>21</v>
      </c>
      <c r="F391" s="2">
        <v>24</v>
      </c>
      <c r="G391" s="3">
        <v>4486</v>
      </c>
      <c r="H391" s="2">
        <v>5</v>
      </c>
      <c r="I391" s="2">
        <v>94</v>
      </c>
      <c r="J391" t="str">
        <f t="shared" si="24"/>
        <v>Young Adult (20-35)</v>
      </c>
      <c r="K391" t="str">
        <f t="shared" si="25"/>
        <v>Medium (3k-8k)</v>
      </c>
      <c r="L391" t="str">
        <f t="shared" si="26"/>
        <v>Medium (4-7 days)</v>
      </c>
      <c r="M391" t="str">
        <f t="shared" si="27"/>
        <v>Excellent</v>
      </c>
    </row>
    <row r="392" spans="1:13">
      <c r="A392" t="s">
        <v>427</v>
      </c>
      <c r="B392" t="s">
        <v>14</v>
      </c>
      <c r="C392" t="s">
        <v>44</v>
      </c>
      <c r="D392" t="s">
        <v>24</v>
      </c>
      <c r="E392" t="s">
        <v>21</v>
      </c>
      <c r="F392" s="2">
        <v>37</v>
      </c>
      <c r="G392" s="3">
        <v>1649</v>
      </c>
      <c r="H392" s="2">
        <v>2</v>
      </c>
      <c r="I392" s="2">
        <v>70</v>
      </c>
      <c r="J392" t="str">
        <f t="shared" si="24"/>
        <v>Adult (36-59)</v>
      </c>
      <c r="K392" t="str">
        <f t="shared" si="25"/>
        <v>Low (&lt;3k)</v>
      </c>
      <c r="L392" t="str">
        <f t="shared" si="26"/>
        <v>Short (1-3 days)</v>
      </c>
      <c r="M392" t="str">
        <f t="shared" si="27"/>
        <v>Good</v>
      </c>
    </row>
    <row r="393" spans="1:13">
      <c r="A393" t="s">
        <v>428</v>
      </c>
      <c r="B393" t="s">
        <v>53</v>
      </c>
      <c r="C393" t="s">
        <v>27</v>
      </c>
      <c r="D393" t="s">
        <v>20</v>
      </c>
      <c r="E393" t="s">
        <v>21</v>
      </c>
      <c r="F393" s="2">
        <v>46</v>
      </c>
      <c r="G393" s="3">
        <v>219</v>
      </c>
      <c r="H393" s="2">
        <v>2</v>
      </c>
      <c r="I393" s="2">
        <v>58</v>
      </c>
      <c r="J393" t="str">
        <f t="shared" si="24"/>
        <v>Adult (36-59)</v>
      </c>
      <c r="K393" t="str">
        <f t="shared" si="25"/>
        <v>Low (&lt;3k)</v>
      </c>
      <c r="L393" t="str">
        <f t="shared" si="26"/>
        <v>Short (1-3 days)</v>
      </c>
      <c r="M393" t="str">
        <f t="shared" si="27"/>
        <v>Needs Attention</v>
      </c>
    </row>
    <row r="394" spans="1:13">
      <c r="A394" t="s">
        <v>429</v>
      </c>
      <c r="B394" t="s">
        <v>26</v>
      </c>
      <c r="C394" t="s">
        <v>27</v>
      </c>
      <c r="D394" t="s">
        <v>24</v>
      </c>
      <c r="E394" t="s">
        <v>17</v>
      </c>
      <c r="F394" s="2">
        <v>64</v>
      </c>
      <c r="G394" s="3">
        <v>1037</v>
      </c>
      <c r="H394" s="2">
        <v>3</v>
      </c>
      <c r="I394" s="2">
        <v>81</v>
      </c>
      <c r="J394" t="str">
        <f t="shared" si="24"/>
        <v>Senior (60+)</v>
      </c>
      <c r="K394" t="str">
        <f t="shared" si="25"/>
        <v>Low (&lt;3k)</v>
      </c>
      <c r="L394" t="str">
        <f t="shared" si="26"/>
        <v>Short (1-3 days)</v>
      </c>
      <c r="M394" t="str">
        <f t="shared" si="27"/>
        <v>Good</v>
      </c>
    </row>
    <row r="395" spans="1:13">
      <c r="A395" t="s">
        <v>430</v>
      </c>
      <c r="B395" t="s">
        <v>29</v>
      </c>
      <c r="C395" t="s">
        <v>27</v>
      </c>
      <c r="D395" t="s">
        <v>38</v>
      </c>
      <c r="E395" t="s">
        <v>21</v>
      </c>
      <c r="F395" s="2">
        <v>73</v>
      </c>
      <c r="G395" s="3">
        <v>263</v>
      </c>
      <c r="H395" s="2">
        <v>1</v>
      </c>
      <c r="I395" s="2">
        <v>68</v>
      </c>
      <c r="J395" t="str">
        <f t="shared" si="24"/>
        <v>Senior (60+)</v>
      </c>
      <c r="K395" t="str">
        <f t="shared" si="25"/>
        <v>Low (&lt;3k)</v>
      </c>
      <c r="L395" t="str">
        <f t="shared" si="26"/>
        <v>Short (1-3 days)</v>
      </c>
      <c r="M395" t="str">
        <f t="shared" si="27"/>
        <v>Needs Attention</v>
      </c>
    </row>
    <row r="396" spans="1:13">
      <c r="A396" t="s">
        <v>431</v>
      </c>
      <c r="B396" t="s">
        <v>19</v>
      </c>
      <c r="C396" t="s">
        <v>30</v>
      </c>
      <c r="D396" t="s">
        <v>64</v>
      </c>
      <c r="E396" t="s">
        <v>17</v>
      </c>
      <c r="F396" s="2">
        <v>22</v>
      </c>
      <c r="G396" s="3">
        <v>4746</v>
      </c>
      <c r="H396" s="2">
        <v>9</v>
      </c>
      <c r="I396" s="2">
        <v>85</v>
      </c>
      <c r="J396" t="str">
        <f t="shared" si="24"/>
        <v>Young Adult (20-35)</v>
      </c>
      <c r="K396" t="str">
        <f t="shared" si="25"/>
        <v>Medium (3k-8k)</v>
      </c>
      <c r="L396" t="str">
        <f t="shared" si="26"/>
        <v>Long (8+ days)</v>
      </c>
      <c r="M396" t="str">
        <f t="shared" si="27"/>
        <v>Excellent</v>
      </c>
    </row>
    <row r="397" spans="1:13">
      <c r="A397" t="s">
        <v>432</v>
      </c>
      <c r="B397" t="s">
        <v>23</v>
      </c>
      <c r="C397" t="s">
        <v>15</v>
      </c>
      <c r="D397" t="s">
        <v>20</v>
      </c>
      <c r="E397" t="s">
        <v>21</v>
      </c>
      <c r="F397" s="2">
        <v>70</v>
      </c>
      <c r="G397" s="3">
        <v>18488</v>
      </c>
      <c r="H397" s="2">
        <v>10</v>
      </c>
      <c r="I397" s="2">
        <v>84</v>
      </c>
      <c r="J397" t="str">
        <f t="shared" si="24"/>
        <v>Senior (60+)</v>
      </c>
      <c r="K397" t="str">
        <f t="shared" si="25"/>
        <v>High (&gt;8k)</v>
      </c>
      <c r="L397" t="str">
        <f t="shared" si="26"/>
        <v>Long (8+ days)</v>
      </c>
      <c r="M397" t="str">
        <f t="shared" si="27"/>
        <v>Good</v>
      </c>
    </row>
    <row r="398" spans="1:13">
      <c r="A398" t="s">
        <v>433</v>
      </c>
      <c r="B398" t="s">
        <v>53</v>
      </c>
      <c r="C398" t="s">
        <v>15</v>
      </c>
      <c r="D398" t="s">
        <v>38</v>
      </c>
      <c r="E398" t="s">
        <v>17</v>
      </c>
      <c r="F398" s="2">
        <v>55</v>
      </c>
      <c r="G398" s="3">
        <v>6677</v>
      </c>
      <c r="H398" s="2">
        <v>15</v>
      </c>
      <c r="I398" s="2">
        <v>98</v>
      </c>
      <c r="J398" t="str">
        <f t="shared" si="24"/>
        <v>Adult (36-59)</v>
      </c>
      <c r="K398" t="str">
        <f t="shared" si="25"/>
        <v>Medium (3k-8k)</v>
      </c>
      <c r="L398" t="str">
        <f t="shared" si="26"/>
        <v>Long (8+ days)</v>
      </c>
      <c r="M398" t="str">
        <f t="shared" si="27"/>
        <v>Excellent</v>
      </c>
    </row>
    <row r="399" spans="1:13">
      <c r="A399" t="s">
        <v>434</v>
      </c>
      <c r="B399" t="s">
        <v>26</v>
      </c>
      <c r="C399" t="s">
        <v>30</v>
      </c>
      <c r="D399" t="s">
        <v>16</v>
      </c>
      <c r="E399" t="s">
        <v>21</v>
      </c>
      <c r="F399" s="2">
        <v>45</v>
      </c>
      <c r="G399" s="3">
        <v>1712</v>
      </c>
      <c r="H399" s="2">
        <v>9</v>
      </c>
      <c r="I399" s="2">
        <v>57</v>
      </c>
      <c r="J399" t="str">
        <f t="shared" si="24"/>
        <v>Adult (36-59)</v>
      </c>
      <c r="K399" t="str">
        <f t="shared" si="25"/>
        <v>Low (&lt;3k)</v>
      </c>
      <c r="L399" t="str">
        <f t="shared" si="26"/>
        <v>Long (8+ days)</v>
      </c>
      <c r="M399" t="str">
        <f t="shared" si="27"/>
        <v>Needs Attention</v>
      </c>
    </row>
    <row r="400" spans="1:13">
      <c r="A400" t="s">
        <v>435</v>
      </c>
      <c r="B400" t="s">
        <v>53</v>
      </c>
      <c r="C400" t="s">
        <v>44</v>
      </c>
      <c r="D400" t="s">
        <v>64</v>
      </c>
      <c r="E400" t="s">
        <v>17</v>
      </c>
      <c r="F400" s="2">
        <v>76</v>
      </c>
      <c r="G400" s="3">
        <v>3372</v>
      </c>
      <c r="H400" s="2">
        <v>5</v>
      </c>
      <c r="I400" s="2">
        <v>90</v>
      </c>
      <c r="J400" t="str">
        <f t="shared" si="24"/>
        <v>Senior (60+)</v>
      </c>
      <c r="K400" t="str">
        <f t="shared" si="25"/>
        <v>Medium (3k-8k)</v>
      </c>
      <c r="L400" t="str">
        <f t="shared" si="26"/>
        <v>Medium (4-7 days)</v>
      </c>
      <c r="M400" t="str">
        <f t="shared" si="27"/>
        <v>Excellent</v>
      </c>
    </row>
    <row r="401" spans="1:13">
      <c r="A401" t="s">
        <v>436</v>
      </c>
      <c r="B401" t="s">
        <v>29</v>
      </c>
      <c r="C401" t="s">
        <v>44</v>
      </c>
      <c r="D401" t="s">
        <v>20</v>
      </c>
      <c r="E401" t="s">
        <v>21</v>
      </c>
      <c r="F401" s="2">
        <v>27</v>
      </c>
      <c r="G401" s="3">
        <v>2195</v>
      </c>
      <c r="H401" s="2">
        <v>1</v>
      </c>
      <c r="I401" s="2">
        <v>86</v>
      </c>
      <c r="J401" t="str">
        <f t="shared" si="24"/>
        <v>Young Adult (20-35)</v>
      </c>
      <c r="K401" t="str">
        <f t="shared" si="25"/>
        <v>Low (&lt;3k)</v>
      </c>
      <c r="L401" t="str">
        <f t="shared" si="26"/>
        <v>Short (1-3 days)</v>
      </c>
      <c r="M401" t="str">
        <f t="shared" si="27"/>
        <v>Excellent</v>
      </c>
    </row>
  </sheetData>
  <conditionalFormatting sqref="G2:G401">
    <cfRule type="dataBar" priority="2">
      <dataBar>
        <cfvo type="min"/>
        <cfvo type="max"/>
        <color rgb="FFF97316"/>
      </dataBar>
    </cfRule>
    <cfRule type="dataBar" priority="3">
      <dataBar>
        <cfvo type="min"/>
        <cfvo type="max"/>
        <color rgb="FFF97316"/>
      </dataBar>
      <extLst>
        <ext xmlns:x14="http://schemas.microsoft.com/office/spreadsheetml/2009/9/main" uri="{B025F937-C7B1-47D3-B67F-A62EFF666E3E}">
          <x14:id>{135AFB94-B15D-17FF-1924-690C07F1B71D}</x14:id>
        </ext>
      </extLst>
    </cfRule>
  </conditionalFormatting>
  <conditionalFormatting sqref="I2:I401">
    <cfRule type="colorScale" priority="1">
      <colorScale>
        <cfvo type="min"/>
        <cfvo type="percentile" val="50"/>
        <cfvo type="max"/>
        <color rgb="FFFCA5A5"/>
        <color rgb="FFFEF3C7"/>
        <color rgb="FFBBF7D0"/>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35AFB94-B15D-17FF-1924-690C07F1B71D}">
            <x14:dataBar>
              <x14:cfvo type="min"/>
              <x14:cfvo type="max"/>
              <x14:negativeFillColor auto="1"/>
              <x14:axisColor auto="1"/>
            </x14:dataBar>
          </x14:cfRule>
          <xm:sqref>G2:G401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2C38-9C30-4480-BE2D-736D45F6462F}">
  <dimension ref="A1:F42"/>
  <sheetViews>
    <sheetView tabSelected="1" topLeftCell="A26" workbookViewId="0">
      <selection activeCell="E39" sqref="E39"/>
    </sheetView>
  </sheetViews>
  <sheetFormatPr defaultRowHeight="14"/>
  <cols>
    <col min="1" max="1" width="15.08203125" bestFit="1" customWidth="1"/>
    <col min="2" max="2" width="24.33203125" bestFit="1" customWidth="1"/>
    <col min="5" max="5" width="10.83203125" bestFit="1" customWidth="1"/>
    <col min="6" max="6" width="27.9140625" bestFit="1" customWidth="1"/>
  </cols>
  <sheetData>
    <row r="1" spans="1:6">
      <c r="A1" s="6" t="s">
        <v>1</v>
      </c>
      <c r="B1" t="s">
        <v>456</v>
      </c>
      <c r="E1" s="6" t="s">
        <v>458</v>
      </c>
      <c r="F1" t="s">
        <v>459</v>
      </c>
    </row>
    <row r="2" spans="1:6">
      <c r="A2" s="8" t="s">
        <v>19</v>
      </c>
      <c r="B2" s="2">
        <v>77.928571428571431</v>
      </c>
      <c r="E2" s="8" t="s">
        <v>17</v>
      </c>
      <c r="F2">
        <v>7</v>
      </c>
    </row>
    <row r="3" spans="1:6">
      <c r="A3" s="8" t="s">
        <v>455</v>
      </c>
      <c r="B3" s="2">
        <v>77.928571428571431</v>
      </c>
      <c r="E3" s="8" t="s">
        <v>21</v>
      </c>
      <c r="F3">
        <v>7</v>
      </c>
    </row>
    <row r="4" spans="1:6">
      <c r="E4" s="8" t="s">
        <v>455</v>
      </c>
      <c r="F4">
        <v>14</v>
      </c>
    </row>
    <row r="8" spans="1:6">
      <c r="E8" s="6" t="s">
        <v>2</v>
      </c>
      <c r="F8" t="s">
        <v>456</v>
      </c>
    </row>
    <row r="9" spans="1:6">
      <c r="E9" s="8" t="s">
        <v>44</v>
      </c>
      <c r="F9" s="2">
        <v>77.928571428571431</v>
      </c>
    </row>
    <row r="10" spans="1:6">
      <c r="E10" s="8" t="s">
        <v>455</v>
      </c>
      <c r="F10" s="2">
        <v>77.928571428571431</v>
      </c>
    </row>
    <row r="11" spans="1:6">
      <c r="A11" s="6" t="s">
        <v>457</v>
      </c>
      <c r="B11" t="s">
        <v>456</v>
      </c>
    </row>
    <row r="12" spans="1:6">
      <c r="A12" s="8" t="s">
        <v>64</v>
      </c>
      <c r="B12" s="2">
        <v>52</v>
      </c>
    </row>
    <row r="13" spans="1:6">
      <c r="A13" s="8" t="s">
        <v>33</v>
      </c>
      <c r="B13" s="2">
        <v>73.5</v>
      </c>
    </row>
    <row r="14" spans="1:6">
      <c r="A14" s="8" t="s">
        <v>35</v>
      </c>
      <c r="B14" s="2">
        <v>95</v>
      </c>
    </row>
    <row r="15" spans="1:6">
      <c r="A15" s="8" t="s">
        <v>31</v>
      </c>
      <c r="B15" s="2">
        <v>74</v>
      </c>
      <c r="E15" s="6" t="s">
        <v>9</v>
      </c>
      <c r="F15" t="s">
        <v>456</v>
      </c>
    </row>
    <row r="16" spans="1:6">
      <c r="A16" s="8" t="s">
        <v>20</v>
      </c>
      <c r="B16" s="2">
        <v>81</v>
      </c>
      <c r="E16" s="8" t="s">
        <v>438</v>
      </c>
      <c r="F16" s="2">
        <v>87.5</v>
      </c>
    </row>
    <row r="17" spans="1:6">
      <c r="A17" s="8" t="s">
        <v>46</v>
      </c>
      <c r="B17" s="2">
        <v>78.5</v>
      </c>
      <c r="E17" s="8" t="s">
        <v>439</v>
      </c>
      <c r="F17" s="2">
        <v>71.333333333333329</v>
      </c>
    </row>
    <row r="18" spans="1:6">
      <c r="A18" s="8" t="s">
        <v>455</v>
      </c>
      <c r="B18" s="2">
        <v>77.928571428571431</v>
      </c>
      <c r="E18" s="8" t="s">
        <v>440</v>
      </c>
      <c r="F18" s="2">
        <v>60</v>
      </c>
    </row>
    <row r="19" spans="1:6">
      <c r="E19" s="8" t="s">
        <v>441</v>
      </c>
      <c r="F19" s="2">
        <v>78</v>
      </c>
    </row>
    <row r="20" spans="1:6">
      <c r="E20" s="8" t="s">
        <v>455</v>
      </c>
      <c r="F20" s="2">
        <v>77.928571428571431</v>
      </c>
    </row>
    <row r="23" spans="1:6">
      <c r="E23" s="6" t="s">
        <v>458</v>
      </c>
      <c r="F23" t="s">
        <v>461</v>
      </c>
    </row>
    <row r="24" spans="1:6">
      <c r="A24" s="6" t="s">
        <v>1</v>
      </c>
      <c r="B24" t="s">
        <v>460</v>
      </c>
      <c r="E24" s="8" t="s">
        <v>17</v>
      </c>
      <c r="F24" s="2">
        <v>3</v>
      </c>
    </row>
    <row r="25" spans="1:6">
      <c r="A25" s="8" t="s">
        <v>19</v>
      </c>
      <c r="B25" s="3">
        <v>2739.5</v>
      </c>
      <c r="E25" s="8" t="s">
        <v>21</v>
      </c>
      <c r="F25" s="2">
        <v>3.8571428571428572</v>
      </c>
    </row>
    <row r="26" spans="1:6">
      <c r="A26" s="8" t="s">
        <v>455</v>
      </c>
      <c r="B26" s="3">
        <v>2739.5</v>
      </c>
      <c r="E26" s="8" t="s">
        <v>455</v>
      </c>
      <c r="F26" s="2">
        <v>3.4285714285714284</v>
      </c>
    </row>
    <row r="29" spans="1:6">
      <c r="E29" s="6" t="s">
        <v>1</v>
      </c>
      <c r="F29" t="s">
        <v>456</v>
      </c>
    </row>
    <row r="30" spans="1:6">
      <c r="E30" s="8" t="s">
        <v>19</v>
      </c>
      <c r="F30" s="2">
        <v>77.928571428571431</v>
      </c>
    </row>
    <row r="31" spans="1:6">
      <c r="E31" s="8" t="s">
        <v>455</v>
      </c>
      <c r="F31" s="2">
        <v>77.928571428571431</v>
      </c>
    </row>
    <row r="34" spans="1:6">
      <c r="A34" s="6" t="s">
        <v>3</v>
      </c>
      <c r="B34" t="s">
        <v>456</v>
      </c>
    </row>
    <row r="35" spans="1:6">
      <c r="A35" s="8" t="s">
        <v>64</v>
      </c>
      <c r="B35" s="2">
        <v>52</v>
      </c>
    </row>
    <row r="36" spans="1:6">
      <c r="A36" s="8" t="s">
        <v>33</v>
      </c>
      <c r="B36" s="2">
        <v>73.5</v>
      </c>
    </row>
    <row r="37" spans="1:6">
      <c r="A37" s="8" t="s">
        <v>35</v>
      </c>
      <c r="B37" s="2">
        <v>95</v>
      </c>
    </row>
    <row r="38" spans="1:6">
      <c r="A38" s="8" t="s">
        <v>31</v>
      </c>
      <c r="B38" s="2">
        <v>74</v>
      </c>
    </row>
    <row r="39" spans="1:6">
      <c r="A39" s="8" t="s">
        <v>20</v>
      </c>
      <c r="B39" s="2">
        <v>81</v>
      </c>
      <c r="E39" s="6" t="s">
        <v>4</v>
      </c>
      <c r="F39" t="s">
        <v>462</v>
      </c>
    </row>
    <row r="40" spans="1:6">
      <c r="A40" s="8" t="s">
        <v>46</v>
      </c>
      <c r="B40" s="2">
        <v>78.5</v>
      </c>
      <c r="E40" s="8" t="s">
        <v>17</v>
      </c>
      <c r="F40" s="2">
        <v>52.857142857142854</v>
      </c>
    </row>
    <row r="41" spans="1:6">
      <c r="A41" s="8" t="s">
        <v>455</v>
      </c>
      <c r="B41" s="2">
        <v>77.928571428571431</v>
      </c>
      <c r="E41" s="8" t="s">
        <v>21</v>
      </c>
      <c r="F41" s="2">
        <v>60.428571428571431</v>
      </c>
    </row>
    <row r="42" spans="1:6">
      <c r="E42" s="8" t="s">
        <v>455</v>
      </c>
      <c r="F42" s="2">
        <v>56.642857142857146</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4BEB-5297-49F1-B384-2C2FBB4293AB}">
  <dimension ref="A1"/>
  <sheetViews>
    <sheetView showGridLines="0" zoomScale="53" zoomScaleNormal="53" workbookViewId="0">
      <selection activeCell="AA72" sqref="AA72"/>
    </sheetView>
  </sheetViews>
  <sheetFormatPr defaultRowHeight="14"/>
  <cols>
    <col min="1" max="16384" width="8.66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workbookViewId="0">
      <selection sqref="A1:H1"/>
    </sheetView>
  </sheetViews>
  <sheetFormatPr defaultRowHeight="14"/>
  <cols>
    <col min="1" max="8" width="16" customWidth="1"/>
  </cols>
  <sheetData>
    <row r="1" spans="1:8" ht="15">
      <c r="A1" s="9" t="s">
        <v>443</v>
      </c>
      <c r="B1" s="10"/>
      <c r="C1" s="10"/>
      <c r="D1" s="10"/>
      <c r="E1" s="10"/>
      <c r="F1" s="10"/>
      <c r="G1" s="10"/>
      <c r="H1" s="10"/>
    </row>
    <row r="2" spans="1:8">
      <c r="A2" s="5"/>
      <c r="B2" s="5"/>
      <c r="C2" s="5"/>
      <c r="D2" s="5"/>
      <c r="E2" s="5"/>
      <c r="F2" s="5"/>
      <c r="G2" s="5"/>
      <c r="H2" s="5"/>
    </row>
    <row r="3" spans="1:8">
      <c r="A3" s="11" t="s">
        <v>444</v>
      </c>
      <c r="B3" s="10"/>
      <c r="C3" s="10"/>
      <c r="D3" s="10"/>
      <c r="E3" s="10"/>
      <c r="F3" s="10"/>
      <c r="G3" s="10"/>
      <c r="H3" s="10"/>
    </row>
    <row r="4" spans="1:8">
      <c r="A4" s="12" t="s">
        <v>445</v>
      </c>
      <c r="B4" s="10"/>
      <c r="C4" s="10"/>
      <c r="D4" s="10"/>
      <c r="E4" s="10"/>
      <c r="F4" s="10"/>
      <c r="G4" s="10"/>
      <c r="H4" s="10"/>
    </row>
    <row r="5" spans="1:8">
      <c r="A5" s="10"/>
      <c r="B5" s="10"/>
      <c r="C5" s="10"/>
      <c r="D5" s="10"/>
      <c r="E5" s="10"/>
      <c r="F5" s="10"/>
      <c r="G5" s="10"/>
      <c r="H5" s="10"/>
    </row>
    <row r="6" spans="1:8">
      <c r="A6" s="10"/>
      <c r="B6" s="10"/>
      <c r="C6" s="10"/>
      <c r="D6" s="10"/>
      <c r="E6" s="10"/>
      <c r="F6" s="10"/>
      <c r="G6" s="10"/>
      <c r="H6" s="10"/>
    </row>
    <row r="7" spans="1:8">
      <c r="A7" s="10"/>
      <c r="B7" s="10"/>
      <c r="C7" s="10"/>
      <c r="D7" s="10"/>
      <c r="E7" s="10"/>
      <c r="F7" s="10"/>
      <c r="G7" s="10"/>
      <c r="H7" s="10"/>
    </row>
    <row r="8" spans="1:8">
      <c r="A8" s="5"/>
      <c r="B8" s="5"/>
      <c r="C8" s="5"/>
      <c r="D8" s="5"/>
      <c r="E8" s="5"/>
      <c r="F8" s="5"/>
      <c r="G8" s="5"/>
      <c r="H8" s="5"/>
    </row>
    <row r="9" spans="1:8">
      <c r="A9" s="11" t="s">
        <v>446</v>
      </c>
      <c r="B9" s="10"/>
      <c r="C9" s="10"/>
      <c r="D9" s="10"/>
      <c r="E9" s="10"/>
      <c r="F9" s="10"/>
      <c r="G9" s="10"/>
      <c r="H9" s="10"/>
    </row>
    <row r="10" spans="1:8">
      <c r="A10" s="12" t="s">
        <v>447</v>
      </c>
      <c r="B10" s="10"/>
      <c r="C10" s="10"/>
      <c r="D10" s="10"/>
      <c r="E10" s="10"/>
      <c r="F10" s="10"/>
      <c r="G10" s="10"/>
      <c r="H10" s="10"/>
    </row>
    <row r="11" spans="1:8">
      <c r="A11" s="10"/>
      <c r="B11" s="10"/>
      <c r="C11" s="10"/>
      <c r="D11" s="10"/>
      <c r="E11" s="10"/>
      <c r="F11" s="10"/>
      <c r="G11" s="10"/>
      <c r="H11" s="10"/>
    </row>
    <row r="12" spans="1:8">
      <c r="A12" s="10"/>
      <c r="B12" s="10"/>
      <c r="C12" s="10"/>
      <c r="D12" s="10"/>
      <c r="E12" s="10"/>
      <c r="F12" s="10"/>
      <c r="G12" s="10"/>
      <c r="H12" s="10"/>
    </row>
    <row r="13" spans="1:8">
      <c r="A13" s="10"/>
      <c r="B13" s="10"/>
      <c r="C13" s="10"/>
      <c r="D13" s="10"/>
      <c r="E13" s="10"/>
      <c r="F13" s="10"/>
      <c r="G13" s="10"/>
      <c r="H13" s="10"/>
    </row>
    <row r="14" spans="1:8">
      <c r="A14" s="5"/>
      <c r="B14" s="5"/>
      <c r="C14" s="5"/>
      <c r="D14" s="5"/>
      <c r="E14" s="5"/>
      <c r="F14" s="5"/>
      <c r="G14" s="5"/>
      <c r="H14" s="5"/>
    </row>
    <row r="15" spans="1:8">
      <c r="A15" s="11" t="s">
        <v>448</v>
      </c>
      <c r="B15" s="10"/>
      <c r="C15" s="10"/>
      <c r="D15" s="10"/>
      <c r="E15" s="10"/>
      <c r="F15" s="10"/>
      <c r="G15" s="10"/>
      <c r="H15" s="10"/>
    </row>
    <row r="16" spans="1:8">
      <c r="A16" s="12" t="s">
        <v>449</v>
      </c>
      <c r="B16" s="10"/>
      <c r="C16" s="10"/>
      <c r="D16" s="10"/>
      <c r="E16" s="10"/>
      <c r="F16" s="10"/>
      <c r="G16" s="10"/>
      <c r="H16" s="10"/>
    </row>
    <row r="17" spans="1:8">
      <c r="A17" s="10"/>
      <c r="B17" s="10"/>
      <c r="C17" s="10"/>
      <c r="D17" s="10"/>
      <c r="E17" s="10"/>
      <c r="F17" s="10"/>
      <c r="G17" s="10"/>
      <c r="H17" s="10"/>
    </row>
    <row r="18" spans="1:8">
      <c r="A18" s="10"/>
      <c r="B18" s="10"/>
      <c r="C18" s="10"/>
      <c r="D18" s="10"/>
      <c r="E18" s="10"/>
      <c r="F18" s="10"/>
      <c r="G18" s="10"/>
      <c r="H18" s="10"/>
    </row>
    <row r="19" spans="1:8">
      <c r="A19" s="10"/>
      <c r="B19" s="10"/>
      <c r="C19" s="10"/>
      <c r="D19" s="10"/>
      <c r="E19" s="10"/>
      <c r="F19" s="10"/>
      <c r="G19" s="10"/>
      <c r="H19" s="10"/>
    </row>
    <row r="20" spans="1:8">
      <c r="A20" s="5"/>
      <c r="B20" s="5"/>
      <c r="C20" s="5"/>
      <c r="D20" s="5"/>
      <c r="E20" s="5"/>
      <c r="F20" s="5"/>
      <c r="G20" s="5"/>
      <c r="H20" s="5"/>
    </row>
    <row r="21" spans="1:8">
      <c r="A21" s="11" t="s">
        <v>450</v>
      </c>
      <c r="B21" s="10"/>
      <c r="C21" s="10"/>
      <c r="D21" s="10"/>
      <c r="E21" s="10"/>
      <c r="F21" s="10"/>
      <c r="G21" s="10"/>
      <c r="H21" s="10"/>
    </row>
    <row r="22" spans="1:8">
      <c r="A22" s="12" t="s">
        <v>451</v>
      </c>
      <c r="B22" s="10"/>
      <c r="C22" s="10"/>
      <c r="D22" s="10"/>
      <c r="E22" s="10"/>
      <c r="F22" s="10"/>
      <c r="G22" s="10"/>
      <c r="H22" s="10"/>
    </row>
    <row r="23" spans="1:8">
      <c r="A23" s="10"/>
      <c r="B23" s="10"/>
      <c r="C23" s="10"/>
      <c r="D23" s="10"/>
      <c r="E23" s="10"/>
      <c r="F23" s="10"/>
      <c r="G23" s="10"/>
      <c r="H23" s="10"/>
    </row>
    <row r="24" spans="1:8">
      <c r="A24" s="10"/>
      <c r="B24" s="10"/>
      <c r="C24" s="10"/>
      <c r="D24" s="10"/>
      <c r="E24" s="10"/>
      <c r="F24" s="10"/>
      <c r="G24" s="10"/>
      <c r="H24" s="10"/>
    </row>
    <row r="25" spans="1:8">
      <c r="A25" s="10"/>
      <c r="B25" s="10"/>
      <c r="C25" s="10"/>
      <c r="D25" s="10"/>
      <c r="E25" s="10"/>
      <c r="F25" s="10"/>
      <c r="G25" s="10"/>
      <c r="H25" s="10"/>
    </row>
    <row r="26" spans="1:8">
      <c r="A26" s="5"/>
      <c r="B26" s="5"/>
      <c r="C26" s="5"/>
      <c r="D26" s="5"/>
      <c r="E26" s="5"/>
      <c r="F26" s="5"/>
      <c r="G26" s="5"/>
      <c r="H26" s="5"/>
    </row>
    <row r="27" spans="1:8">
      <c r="A27" s="11" t="s">
        <v>437</v>
      </c>
      <c r="B27" s="10"/>
      <c r="C27" s="10"/>
      <c r="D27" s="10"/>
      <c r="E27" s="10"/>
      <c r="F27" s="10"/>
      <c r="G27" s="10"/>
      <c r="H27" s="10"/>
    </row>
    <row r="28" spans="1:8">
      <c r="A28" s="12" t="s">
        <v>452</v>
      </c>
      <c r="B28" s="10"/>
      <c r="C28" s="10"/>
      <c r="D28" s="10"/>
      <c r="E28" s="10"/>
      <c r="F28" s="10"/>
      <c r="G28" s="10"/>
      <c r="H28" s="10"/>
    </row>
    <row r="29" spans="1:8">
      <c r="A29" s="10"/>
      <c r="B29" s="10"/>
      <c r="C29" s="10"/>
      <c r="D29" s="10"/>
      <c r="E29" s="10"/>
      <c r="F29" s="10"/>
      <c r="G29" s="10"/>
      <c r="H29" s="10"/>
    </row>
    <row r="30" spans="1:8">
      <c r="A30" s="10"/>
      <c r="B30" s="10"/>
      <c r="C30" s="10"/>
      <c r="D30" s="10"/>
      <c r="E30" s="10"/>
      <c r="F30" s="10"/>
      <c r="G30" s="10"/>
      <c r="H30" s="10"/>
    </row>
    <row r="31" spans="1:8">
      <c r="A31" s="10"/>
      <c r="B31" s="10"/>
      <c r="C31" s="10"/>
      <c r="D31" s="10"/>
      <c r="E31" s="10"/>
      <c r="F31" s="10"/>
      <c r="G31" s="10"/>
      <c r="H31" s="10"/>
    </row>
    <row r="32" spans="1:8">
      <c r="A32" s="5"/>
      <c r="B32" s="5"/>
      <c r="C32" s="5"/>
      <c r="D32" s="5"/>
      <c r="E32" s="5"/>
      <c r="F32" s="5"/>
      <c r="G32" s="5"/>
      <c r="H32" s="5"/>
    </row>
    <row r="33" spans="1:8">
      <c r="A33" s="11" t="s">
        <v>453</v>
      </c>
      <c r="B33" s="10"/>
      <c r="C33" s="10"/>
      <c r="D33" s="10"/>
      <c r="E33" s="10"/>
      <c r="F33" s="10"/>
      <c r="G33" s="10"/>
      <c r="H33" s="10"/>
    </row>
    <row r="34" spans="1:8">
      <c r="A34" s="12" t="s">
        <v>454</v>
      </c>
      <c r="B34" s="10"/>
      <c r="C34" s="10"/>
      <c r="D34" s="10"/>
      <c r="E34" s="10"/>
      <c r="F34" s="10"/>
      <c r="G34" s="10"/>
      <c r="H34" s="10"/>
    </row>
    <row r="35" spans="1:8">
      <c r="A35" s="10"/>
      <c r="B35" s="10"/>
      <c r="C35" s="10"/>
      <c r="D35" s="10"/>
      <c r="E35" s="10"/>
      <c r="F35" s="10"/>
      <c r="G35" s="10"/>
      <c r="H35" s="10"/>
    </row>
    <row r="36" spans="1:8">
      <c r="A36" s="10"/>
      <c r="B36" s="10"/>
      <c r="C36" s="10"/>
      <c r="D36" s="10"/>
      <c r="E36" s="10"/>
      <c r="F36" s="10"/>
      <c r="G36" s="10"/>
      <c r="H36" s="10"/>
    </row>
    <row r="37" spans="1:8">
      <c r="A37" s="10"/>
      <c r="B37" s="10"/>
      <c r="C37" s="10"/>
      <c r="D37" s="10"/>
      <c r="E37" s="10"/>
      <c r="F37" s="10"/>
      <c r="G37" s="10"/>
      <c r="H37" s="10"/>
    </row>
    <row r="38" spans="1:8">
      <c r="A38" s="5"/>
      <c r="B38" s="5"/>
      <c r="C38" s="5"/>
      <c r="D38" s="5"/>
      <c r="E38" s="5"/>
      <c r="F38" s="5"/>
      <c r="G38" s="5"/>
      <c r="H38" s="5"/>
    </row>
    <row r="39" spans="1:8">
      <c r="A39" s="5"/>
      <c r="B39" s="5"/>
      <c r="C39" s="5"/>
      <c r="D39" s="5"/>
      <c r="E39" s="5"/>
      <c r="F39" s="5"/>
      <c r="G39" s="5"/>
      <c r="H39" s="5"/>
    </row>
    <row r="40" spans="1:8">
      <c r="A40" s="5"/>
      <c r="B40" s="5"/>
      <c r="C40" s="5"/>
      <c r="D40" s="5"/>
      <c r="E40" s="5"/>
      <c r="F40" s="5"/>
      <c r="G40" s="5"/>
      <c r="H40" s="5"/>
    </row>
  </sheetData>
  <mergeCells count="13">
    <mergeCell ref="A28:H31"/>
    <mergeCell ref="A33:H33"/>
    <mergeCell ref="A34:H37"/>
    <mergeCell ref="A15:H15"/>
    <mergeCell ref="A16:H19"/>
    <mergeCell ref="A21:H21"/>
    <mergeCell ref="A22:H25"/>
    <mergeCell ref="A27:H27"/>
    <mergeCell ref="A1:H1"/>
    <mergeCell ref="A3:H3"/>
    <mergeCell ref="A4:H7"/>
    <mergeCell ref="A9:H9"/>
    <mergeCell ref="A10:H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sheetViews>
  <sheetFormatPr defaultRowHeight="14"/>
  <cols>
    <col min="1" max="1" width="14.1640625" customWidth="1"/>
    <col min="2" max="2" width="12.75" customWidth="1"/>
    <col min="3" max="3" width="6.08203125" customWidth="1"/>
    <col min="4" max="4" width="10.75" customWidth="1"/>
  </cols>
  <sheetData>
    <row r="1" spans="1:4">
      <c r="A1" s="4" t="s">
        <v>1</v>
      </c>
      <c r="B1" s="4" t="s">
        <v>2</v>
      </c>
      <c r="C1" s="4" t="s">
        <v>4</v>
      </c>
      <c r="D1" s="4" t="s">
        <v>3</v>
      </c>
    </row>
    <row r="2" spans="1:4">
      <c r="A2" t="s">
        <v>442</v>
      </c>
      <c r="B2" t="s">
        <v>442</v>
      </c>
      <c r="C2" t="s">
        <v>442</v>
      </c>
      <c r="D2" t="s">
        <v>442</v>
      </c>
    </row>
    <row r="3" spans="1:4">
      <c r="A3" t="s">
        <v>19</v>
      </c>
      <c r="B3" t="s">
        <v>44</v>
      </c>
      <c r="C3" t="s">
        <v>17</v>
      </c>
      <c r="D3" t="s">
        <v>64</v>
      </c>
    </row>
    <row r="4" spans="1:4">
      <c r="A4" t="s">
        <v>14</v>
      </c>
      <c r="B4" t="s">
        <v>27</v>
      </c>
      <c r="C4" t="s">
        <v>21</v>
      </c>
      <c r="D4" t="s">
        <v>38</v>
      </c>
    </row>
    <row r="5" spans="1:4">
      <c r="A5" t="s">
        <v>53</v>
      </c>
      <c r="B5" t="s">
        <v>15</v>
      </c>
      <c r="C5" t="s">
        <v>41</v>
      </c>
      <c r="D5" t="s">
        <v>33</v>
      </c>
    </row>
    <row r="6" spans="1:4">
      <c r="A6" t="s">
        <v>48</v>
      </c>
      <c r="B6" t="s">
        <v>30</v>
      </c>
      <c r="D6" t="s">
        <v>35</v>
      </c>
    </row>
    <row r="7" spans="1:4">
      <c r="A7" t="s">
        <v>23</v>
      </c>
      <c r="D7" t="s">
        <v>31</v>
      </c>
    </row>
    <row r="8" spans="1:4">
      <c r="A8" t="s">
        <v>26</v>
      </c>
      <c r="D8" t="s">
        <v>20</v>
      </c>
    </row>
    <row r="9" spans="1:4">
      <c r="A9" t="s">
        <v>29</v>
      </c>
      <c r="D9" t="s">
        <v>51</v>
      </c>
    </row>
    <row r="10" spans="1:4">
      <c r="D10" t="s">
        <v>24</v>
      </c>
    </row>
    <row r="11" spans="1:4">
      <c r="D11" t="s">
        <v>16</v>
      </c>
    </row>
    <row r="12" spans="1:4">
      <c r="D12"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Pivot Tables</vt:lpstr>
      <vt:lpstr>Dashboard</vt:lpstr>
      <vt:lpstr>Insight_Report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Maxine Ndudzo-Sibiya</cp:lastModifiedBy>
  <cp:lastPrinted>2026-07-07T19:38:00Z</cp:lastPrinted>
  <dcterms:created xsi:type="dcterms:W3CDTF">2026-05-19T17:28:59Z</dcterms:created>
  <dcterms:modified xsi:type="dcterms:W3CDTF">2026-07-07T19:39:20Z</dcterms:modified>
</cp:coreProperties>
</file>